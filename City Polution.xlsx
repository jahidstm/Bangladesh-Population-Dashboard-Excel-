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J:\Data Analytics\Dataset\"/>
    </mc:Choice>
  </mc:AlternateContent>
  <xr:revisionPtr revIDLastSave="0" documentId="13_ncr:1_{94AA8C5E-D35F-445E-90C4-9BD2706EF926}" xr6:coauthVersionLast="47" xr6:coauthVersionMax="47" xr10:uidLastSave="{00000000-0000-0000-0000-000000000000}"/>
  <bookViews>
    <workbookView xWindow="-120" yWindow="-120" windowWidth="29040" windowHeight="15720" activeTab="7" xr2:uid="{ED1CA2A7-E151-401E-9FDC-39900C6F557B}"/>
  </bookViews>
  <sheets>
    <sheet name="city_population" sheetId="2" r:id="rId1"/>
    <sheet name="pivot_table" sheetId="3" state="hidden" r:id="rId2"/>
    <sheet name="pivot_table2" sheetId="7" state="hidden" r:id="rId3"/>
    <sheet name="city_population (2)" sheetId="6" r:id="rId4"/>
    <sheet name="Sheet4" sheetId="8" state="hidden" r:id="rId5"/>
    <sheet name="Sheet1" sheetId="10" state="hidden" r:id="rId6"/>
    <sheet name="Sheet3" sheetId="12" state="hidden" r:id="rId7"/>
    <sheet name="Dashboard" sheetId="11" r:id="rId8"/>
  </sheets>
  <definedNames>
    <definedName name="ExternalData_1" localSheetId="0" hidden="1">'city_population'!$A$1:$J$65</definedName>
    <definedName name="ExternalData_2" localSheetId="3" hidden="1">'city_population (2)'!$A$1:$K$257</definedName>
    <definedName name="Slicer_Divis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87139-4F15-44DE-AD0F-515B7C3A5F52}" keepAlive="1" name="Query - city_population" description="Connection to the 'city_population' query in the workbook." type="5" refreshedVersion="8" background="1" saveData="1">
    <dbPr connection="Provider=Microsoft.Mashup.OleDb.1;Data Source=$Workbook$;Location=city_population;Extended Properties=&quot;&quot;" command="SELECT * FROM [city_population]"/>
  </connection>
  <connection id="2" xr16:uid="{1EB0D122-A3EB-4106-845D-A7677143D82E}" keepAlive="1" name="Query - city_population (2)" description="Connection to the 'city_population (2)' query in the workbook." type="5" refreshedVersion="8" background="1" saveData="1">
    <dbPr connection="Provider=Microsoft.Mashup.OleDb.1;Data Source=$Workbook$;Location=&quot;city_population (2)&quot;;Extended Properties=&quot;&quot;" command="SELECT * FROM [city_population (2)]"/>
  </connection>
</connections>
</file>

<file path=xl/sharedStrings.xml><?xml version="1.0" encoding="utf-8"?>
<sst xmlns="http://schemas.openxmlformats.org/spreadsheetml/2006/main" count="1689" uniqueCount="219">
  <si>
    <t>Name</t>
  </si>
  <si>
    <t>Abbr.</t>
  </si>
  <si>
    <t>Division</t>
  </si>
  <si>
    <t>Established</t>
  </si>
  <si>
    <t>Native</t>
  </si>
  <si>
    <t>Population_1991</t>
  </si>
  <si>
    <t>Population_2001</t>
  </si>
  <si>
    <t>Population_2011</t>
  </si>
  <si>
    <t>Population_2022</t>
  </si>
  <si>
    <t>Barguna</t>
  </si>
  <si>
    <t>BRG</t>
  </si>
  <si>
    <t>Barisal</t>
  </si>
  <si>
    <t>বরগুনা জেলা</t>
  </si>
  <si>
    <t>Barishal</t>
  </si>
  <si>
    <t>BRS</t>
  </si>
  <si>
    <t>বরিশাল জেলা</t>
  </si>
  <si>
    <t>Bhola</t>
  </si>
  <si>
    <t>BHO</t>
  </si>
  <si>
    <t>ভোলা জেলা</t>
  </si>
  <si>
    <t>Jhalokati</t>
  </si>
  <si>
    <t>JHA</t>
  </si>
  <si>
    <t>ঝালকাঠি জেলা</t>
  </si>
  <si>
    <t>Patuakhali</t>
  </si>
  <si>
    <t>PAT</t>
  </si>
  <si>
    <t>পটুয়াখালী জেলা</t>
  </si>
  <si>
    <t>Pirojpur</t>
  </si>
  <si>
    <t>PIR</t>
  </si>
  <si>
    <t>পিরোজপুর জেলা</t>
  </si>
  <si>
    <t>Bandarban</t>
  </si>
  <si>
    <t>BAN</t>
  </si>
  <si>
    <t>Chattogram</t>
  </si>
  <si>
    <t>বান্দরবান জেলা</t>
  </si>
  <si>
    <t>Brahmanbaria</t>
  </si>
  <si>
    <t>BBA</t>
  </si>
  <si>
    <t>ব্রাহ্মণবাড়ীয়া জেলা</t>
  </si>
  <si>
    <t>Chandpur</t>
  </si>
  <si>
    <t>CHA</t>
  </si>
  <si>
    <t>চাঁদপুর জেলা</t>
  </si>
  <si>
    <t>CHI</t>
  </si>
  <si>
    <t>চট্টগ্রাম জেলা</t>
  </si>
  <si>
    <t>Cox's Bazar</t>
  </si>
  <si>
    <t>COX</t>
  </si>
  <si>
    <t>কক্সবাজার জেলা</t>
  </si>
  <si>
    <t>Cumilla</t>
  </si>
  <si>
    <t>CUM</t>
  </si>
  <si>
    <t>কুমিল্লা জেলা</t>
  </si>
  <si>
    <t>Feni</t>
  </si>
  <si>
    <t>FEN</t>
  </si>
  <si>
    <t>ফেনী জেলা</t>
  </si>
  <si>
    <t>Khagrachhari</t>
  </si>
  <si>
    <t>KHA</t>
  </si>
  <si>
    <t>খাগড়াছড়ি জেলা</t>
  </si>
  <si>
    <t>Lakshmipur</t>
  </si>
  <si>
    <t>LAK</t>
  </si>
  <si>
    <t>লক্ষ্মীপুর জেলা</t>
  </si>
  <si>
    <t>Noakhali</t>
  </si>
  <si>
    <t>NOA</t>
  </si>
  <si>
    <t>নোয়াখালী জেলা</t>
  </si>
  <si>
    <t>Rangamati</t>
  </si>
  <si>
    <t>RGM</t>
  </si>
  <si>
    <t>রাঙ্গামাটি জেলা</t>
  </si>
  <si>
    <t>Dhaka</t>
  </si>
  <si>
    <t>DHA</t>
  </si>
  <si>
    <t>ঢাকা জেলা</t>
  </si>
  <si>
    <t>Faridpur</t>
  </si>
  <si>
    <t>FAR</t>
  </si>
  <si>
    <t>ফরিদপুর জেলা</t>
  </si>
  <si>
    <t>Gazipur</t>
  </si>
  <si>
    <t>GAZ</t>
  </si>
  <si>
    <t>গাজীপুর জেলা</t>
  </si>
  <si>
    <t>Gopalganj</t>
  </si>
  <si>
    <t>GOP</t>
  </si>
  <si>
    <t>গোপালগঞ্জ জেলা</t>
  </si>
  <si>
    <t>Kishoreganj</t>
  </si>
  <si>
    <t>KIS</t>
  </si>
  <si>
    <t>কিশোরগঞ্জ জেলা</t>
  </si>
  <si>
    <t>Madaripur</t>
  </si>
  <si>
    <t>MAD</t>
  </si>
  <si>
    <t>মাদারীপুর জেলা</t>
  </si>
  <si>
    <t>Manikganj</t>
  </si>
  <si>
    <t>MAN</t>
  </si>
  <si>
    <t>মানিকগঞ্জ জেলা</t>
  </si>
  <si>
    <t>Munshiganj</t>
  </si>
  <si>
    <t>MUN</t>
  </si>
  <si>
    <t>মুন্সিগঞ্জ জেলা</t>
  </si>
  <si>
    <t>Narayanganj</t>
  </si>
  <si>
    <t>NYG</t>
  </si>
  <si>
    <t>নারায়ণগঞ্জ জেলা</t>
  </si>
  <si>
    <t>Narsingdi</t>
  </si>
  <si>
    <t>NSD</t>
  </si>
  <si>
    <t>নরসিংদী জেলা</t>
  </si>
  <si>
    <t>Rajbari</t>
  </si>
  <si>
    <t>RJB</t>
  </si>
  <si>
    <t>রাজবাড়ী জেলা</t>
  </si>
  <si>
    <t>Shariatpur</t>
  </si>
  <si>
    <t>SHA</t>
  </si>
  <si>
    <t>শরিয়তপুর জেলা</t>
  </si>
  <si>
    <t>Tangail</t>
  </si>
  <si>
    <t>TAN</t>
  </si>
  <si>
    <t>টাঙ্গাইল জেলা</t>
  </si>
  <si>
    <t>Jamalpur</t>
  </si>
  <si>
    <t>JAM</t>
  </si>
  <si>
    <t>Mymensingh</t>
  </si>
  <si>
    <t>জামালপুর জেলা</t>
  </si>
  <si>
    <t>MYM</t>
  </si>
  <si>
    <t>ময়মনসিংহ জেলা</t>
  </si>
  <si>
    <t>Netrakona</t>
  </si>
  <si>
    <t>NET</t>
  </si>
  <si>
    <t>নেত্রকোনা জেলা</t>
  </si>
  <si>
    <t>Sherpur</t>
  </si>
  <si>
    <t>SHE</t>
  </si>
  <si>
    <t>শেরপুর জেলা</t>
  </si>
  <si>
    <t>Bagerhat</t>
  </si>
  <si>
    <t>BAG</t>
  </si>
  <si>
    <t>Khulna</t>
  </si>
  <si>
    <t>বাগেরহাট জেলা</t>
  </si>
  <si>
    <t>Chuadanga</t>
  </si>
  <si>
    <t>CHU</t>
  </si>
  <si>
    <t>চুয়াডাঙ্গা জেলা</t>
  </si>
  <si>
    <t>Jessore</t>
  </si>
  <si>
    <t>JES</t>
  </si>
  <si>
    <t>যশোর জেলা</t>
  </si>
  <si>
    <t>Jhenaidah</t>
  </si>
  <si>
    <t>JHE</t>
  </si>
  <si>
    <t>ঝিনাইদহ জেলা</t>
  </si>
  <si>
    <t>KHU</t>
  </si>
  <si>
    <t>খুলনা জেলা</t>
  </si>
  <si>
    <t>Kushtia</t>
  </si>
  <si>
    <t>KUS</t>
  </si>
  <si>
    <t>কুষ্টিয়া জেলা</t>
  </si>
  <si>
    <t>Magura</t>
  </si>
  <si>
    <t>MAG</t>
  </si>
  <si>
    <t>মাগুরা জেলা</t>
  </si>
  <si>
    <t>Meherpur</t>
  </si>
  <si>
    <t>MEH</t>
  </si>
  <si>
    <t>মেহেরপুর জেলা</t>
  </si>
  <si>
    <t>Narail</t>
  </si>
  <si>
    <t>NRA</t>
  </si>
  <si>
    <t>নড়াইল জেলা</t>
  </si>
  <si>
    <t>Satkhira</t>
  </si>
  <si>
    <t>SAT</t>
  </si>
  <si>
    <t>সাতক্ষীরা জেলা</t>
  </si>
  <si>
    <t>Bogra</t>
  </si>
  <si>
    <t>BOG</t>
  </si>
  <si>
    <t>Rajshahi</t>
  </si>
  <si>
    <t>বগুড়া জেলা</t>
  </si>
  <si>
    <t>Chapai Nawabganj</t>
  </si>
  <si>
    <t>NAW</t>
  </si>
  <si>
    <t>চাঁপাইনবাবগঞ্জ জেলা</t>
  </si>
  <si>
    <t>Jaipurhat</t>
  </si>
  <si>
    <t>JAI</t>
  </si>
  <si>
    <t>জয়পুরহাট জেলা</t>
  </si>
  <si>
    <t>Naogaon</t>
  </si>
  <si>
    <t>NAO</t>
  </si>
  <si>
    <t>নওগাঁ জেলা</t>
  </si>
  <si>
    <t>Natore</t>
  </si>
  <si>
    <t>NAT</t>
  </si>
  <si>
    <t>নাটোর জেলা</t>
  </si>
  <si>
    <t>Pabna</t>
  </si>
  <si>
    <t>PAB</t>
  </si>
  <si>
    <t>পাবনা জেলা</t>
  </si>
  <si>
    <t>RJS</t>
  </si>
  <si>
    <t>রাজশাহী জেলা</t>
  </si>
  <si>
    <t>Sirajganj</t>
  </si>
  <si>
    <t>SIR</t>
  </si>
  <si>
    <t>সিরাজগঞ্জ জেলা</t>
  </si>
  <si>
    <t>Dinajpur</t>
  </si>
  <si>
    <t>DIN</t>
  </si>
  <si>
    <t>Rangpur</t>
  </si>
  <si>
    <t>দিনাজপুর জেলা</t>
  </si>
  <si>
    <t>Gaibandha</t>
  </si>
  <si>
    <t>GAI</t>
  </si>
  <si>
    <t>গাইবান্ধা জেলা</t>
  </si>
  <si>
    <t>Kurigram</t>
  </si>
  <si>
    <t>KUR</t>
  </si>
  <si>
    <t>কুড়িগ্রাম জেলা</t>
  </si>
  <si>
    <t>Lalmonirhat</t>
  </si>
  <si>
    <t>LAL</t>
  </si>
  <si>
    <t>লালমনিরহাট জেলা</t>
  </si>
  <si>
    <t>Nilphamari</t>
  </si>
  <si>
    <t>NIL</t>
  </si>
  <si>
    <t>নীলফামারী জেলা</t>
  </si>
  <si>
    <t>Panchagarh</t>
  </si>
  <si>
    <t>PAN</t>
  </si>
  <si>
    <t>পঞ্চগড় জেলা</t>
  </si>
  <si>
    <t>RGP</t>
  </si>
  <si>
    <t>রংপুর জেলা</t>
  </si>
  <si>
    <t>Thakurgaon</t>
  </si>
  <si>
    <t>THA</t>
  </si>
  <si>
    <t>ঠাকুরগাঁও জেলা</t>
  </si>
  <si>
    <t>Habiganj</t>
  </si>
  <si>
    <t>HAB</t>
  </si>
  <si>
    <t>Sylhet</t>
  </si>
  <si>
    <t>হবিগঞ্জ জেলা</t>
  </si>
  <si>
    <t>Moulvibazar</t>
  </si>
  <si>
    <t>MAU</t>
  </si>
  <si>
    <t>মৌলভীবাজার জেলা</t>
  </si>
  <si>
    <t>Sunamganj</t>
  </si>
  <si>
    <t>SUN</t>
  </si>
  <si>
    <t>সুনামগঞ্জ জেলা</t>
  </si>
  <si>
    <t>SYL</t>
  </si>
  <si>
    <t>সিলেট জেলা</t>
  </si>
  <si>
    <t>Area_km2</t>
  </si>
  <si>
    <t>Population_Density_2022</t>
  </si>
  <si>
    <t>Population_Growth_Abs</t>
  </si>
  <si>
    <t>Population_Growth_Pct</t>
  </si>
  <si>
    <t>Row Labels</t>
  </si>
  <si>
    <t>Grand Total</t>
  </si>
  <si>
    <t>Top 10 Most Populous Districts (2022)</t>
  </si>
  <si>
    <t>Year</t>
  </si>
  <si>
    <t>Population</t>
  </si>
  <si>
    <t>1991</t>
  </si>
  <si>
    <t>2001</t>
  </si>
  <si>
    <t>2011</t>
  </si>
  <si>
    <t>2022</t>
  </si>
  <si>
    <t>Column Labels</t>
  </si>
  <si>
    <t>Population Trend by Division (1991-2022)</t>
  </si>
  <si>
    <t>Average of Population_Density_2022</t>
  </si>
  <si>
    <t>Sum of Area_km2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</si>
</sst>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vertical="center"/>
    </xf>
    <xf numFmtId="0" fontId="1"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theme="1"/>
        <name val="Aptos Narrow"/>
        <family val="2"/>
        <scheme val="minor"/>
      </font>
      <fill>
        <patternFill patternType="solid">
          <fgColor indexed="64"/>
          <bgColor theme="1" tint="0.249977111117893"/>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 Polution.xlsx]Sheet1!PivotTable1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Sheet1!$A$4:$A$17</c:f>
              <c:strCache>
                <c:ptCount val="13"/>
                <c:pt idx="0">
                  <c:v>Dhaka</c:v>
                </c:pt>
                <c:pt idx="1">
                  <c:v>Faridpur</c:v>
                </c:pt>
                <c:pt idx="2">
                  <c:v>Gazipur</c:v>
                </c:pt>
                <c:pt idx="3">
                  <c:v>Gopalganj</c:v>
                </c:pt>
                <c:pt idx="4">
                  <c:v>Kishoreganj</c:v>
                </c:pt>
                <c:pt idx="5">
                  <c:v>Madaripur</c:v>
                </c:pt>
                <c:pt idx="6">
                  <c:v>Manikganj</c:v>
                </c:pt>
                <c:pt idx="7">
                  <c:v>Munshiganj</c:v>
                </c:pt>
                <c:pt idx="8">
                  <c:v>Narayanganj</c:v>
                </c:pt>
                <c:pt idx="9">
                  <c:v>Narsingdi</c:v>
                </c:pt>
                <c:pt idx="10">
                  <c:v>Rajbari</c:v>
                </c:pt>
                <c:pt idx="11">
                  <c:v>Shariatpur</c:v>
                </c:pt>
                <c:pt idx="12">
                  <c:v>Tangail</c:v>
                </c:pt>
              </c:strCache>
            </c:strRef>
          </c:cat>
          <c:val>
            <c:numRef>
              <c:f>Sheet1!$B$4:$B$17</c:f>
              <c:numCache>
                <c:formatCode>General</c:formatCode>
                <c:ptCount val="13"/>
                <c:pt idx="0">
                  <c:v>1464</c:v>
                </c:pt>
                <c:pt idx="1">
                  <c:v>2053</c:v>
                </c:pt>
                <c:pt idx="2">
                  <c:v>1806</c:v>
                </c:pt>
                <c:pt idx="3">
                  <c:v>1469</c:v>
                </c:pt>
                <c:pt idx="4">
                  <c:v>2689</c:v>
                </c:pt>
                <c:pt idx="5">
                  <c:v>1126</c:v>
                </c:pt>
                <c:pt idx="6">
                  <c:v>1384</c:v>
                </c:pt>
                <c:pt idx="7">
                  <c:v>1004</c:v>
                </c:pt>
                <c:pt idx="8">
                  <c:v>684</c:v>
                </c:pt>
                <c:pt idx="9">
                  <c:v>1150</c:v>
                </c:pt>
                <c:pt idx="10">
                  <c:v>1092</c:v>
                </c:pt>
                <c:pt idx="11">
                  <c:v>1174</c:v>
                </c:pt>
                <c:pt idx="12">
                  <c:v>3414</c:v>
                </c:pt>
              </c:numCache>
            </c:numRef>
          </c:val>
          <c:extLst>
            <c:ext xmlns:c16="http://schemas.microsoft.com/office/drawing/2014/chart" uri="{C3380CC4-5D6E-409C-BE32-E72D297353CC}">
              <c16:uniqueId val="{00000000-E210-4DF9-9B93-BF194BDC453D}"/>
            </c:ext>
          </c:extLst>
        </c:ser>
        <c:dLbls>
          <c:showLegendKey val="0"/>
          <c:showVal val="0"/>
          <c:showCatName val="0"/>
          <c:showSerName val="0"/>
          <c:showPercent val="0"/>
          <c:showBubbleSize val="0"/>
        </c:dLbls>
        <c:gapWidth val="150"/>
        <c:overlap val="100"/>
        <c:axId val="1780392416"/>
        <c:axId val="1780382336"/>
      </c:barChart>
      <c:catAx>
        <c:axId val="1780392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82336"/>
        <c:crosses val="autoZero"/>
        <c:auto val="1"/>
        <c:lblAlgn val="ctr"/>
        <c:lblOffset val="100"/>
        <c:noMultiLvlLbl val="0"/>
      </c:catAx>
      <c:valAx>
        <c:axId val="1780382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9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 Polution.xlsx]Sheet1!PivotTable1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a:t>
            </a:r>
            <a:r>
              <a:rPr lang="en-US" baseline="0"/>
              <a:t> Big City by Area</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Sheet1!$A$4:$A$17</c:f>
              <c:strCache>
                <c:ptCount val="13"/>
                <c:pt idx="0">
                  <c:v>Dhaka</c:v>
                </c:pt>
                <c:pt idx="1">
                  <c:v>Faridpur</c:v>
                </c:pt>
                <c:pt idx="2">
                  <c:v>Gazipur</c:v>
                </c:pt>
                <c:pt idx="3">
                  <c:v>Gopalganj</c:v>
                </c:pt>
                <c:pt idx="4">
                  <c:v>Kishoreganj</c:v>
                </c:pt>
                <c:pt idx="5">
                  <c:v>Madaripur</c:v>
                </c:pt>
                <c:pt idx="6">
                  <c:v>Manikganj</c:v>
                </c:pt>
                <c:pt idx="7">
                  <c:v>Munshiganj</c:v>
                </c:pt>
                <c:pt idx="8">
                  <c:v>Narayanganj</c:v>
                </c:pt>
                <c:pt idx="9">
                  <c:v>Narsingdi</c:v>
                </c:pt>
                <c:pt idx="10">
                  <c:v>Rajbari</c:v>
                </c:pt>
                <c:pt idx="11">
                  <c:v>Shariatpur</c:v>
                </c:pt>
                <c:pt idx="12">
                  <c:v>Tangail</c:v>
                </c:pt>
              </c:strCache>
            </c:strRef>
          </c:cat>
          <c:val>
            <c:numRef>
              <c:f>Sheet1!$B$4:$B$17</c:f>
              <c:numCache>
                <c:formatCode>General</c:formatCode>
                <c:ptCount val="13"/>
                <c:pt idx="0">
                  <c:v>1464</c:v>
                </c:pt>
                <c:pt idx="1">
                  <c:v>2053</c:v>
                </c:pt>
                <c:pt idx="2">
                  <c:v>1806</c:v>
                </c:pt>
                <c:pt idx="3">
                  <c:v>1469</c:v>
                </c:pt>
                <c:pt idx="4">
                  <c:v>2689</c:v>
                </c:pt>
                <c:pt idx="5">
                  <c:v>1126</c:v>
                </c:pt>
                <c:pt idx="6">
                  <c:v>1384</c:v>
                </c:pt>
                <c:pt idx="7">
                  <c:v>1004</c:v>
                </c:pt>
                <c:pt idx="8">
                  <c:v>684</c:v>
                </c:pt>
                <c:pt idx="9">
                  <c:v>1150</c:v>
                </c:pt>
                <c:pt idx="10">
                  <c:v>1092</c:v>
                </c:pt>
                <c:pt idx="11">
                  <c:v>1174</c:v>
                </c:pt>
                <c:pt idx="12">
                  <c:v>3414</c:v>
                </c:pt>
              </c:numCache>
            </c:numRef>
          </c:val>
          <c:extLst>
            <c:ext xmlns:c16="http://schemas.microsoft.com/office/drawing/2014/chart" uri="{C3380CC4-5D6E-409C-BE32-E72D297353CC}">
              <c16:uniqueId val="{00000000-CE50-451E-AD96-062FD84EFFB5}"/>
            </c:ext>
          </c:extLst>
        </c:ser>
        <c:dLbls>
          <c:showLegendKey val="0"/>
          <c:showVal val="0"/>
          <c:showCatName val="0"/>
          <c:showSerName val="0"/>
          <c:showPercent val="0"/>
          <c:showBubbleSize val="0"/>
        </c:dLbls>
        <c:gapWidth val="150"/>
        <c:overlap val="100"/>
        <c:axId val="1780392416"/>
        <c:axId val="1780382336"/>
      </c:barChart>
      <c:catAx>
        <c:axId val="178039241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0382336"/>
        <c:crosses val="autoZero"/>
        <c:auto val="1"/>
        <c:lblAlgn val="ctr"/>
        <c:lblOffset val="100"/>
        <c:noMultiLvlLbl val="0"/>
      </c:catAx>
      <c:valAx>
        <c:axId val="178038233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03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Area vs. Population (2022)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'city_population'!$G$1</c:f>
              <c:strCache>
                <c:ptCount val="1"/>
                <c:pt idx="0">
                  <c:v>Population_1991</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'city_population'!$F$2:$F$65</c:f>
              <c:numCache>
                <c:formatCode>General</c:formatCode>
                <c:ptCount val="64"/>
                <c:pt idx="0">
                  <c:v>1831</c:v>
                </c:pt>
                <c:pt idx="1">
                  <c:v>2785</c:v>
                </c:pt>
                <c:pt idx="2">
                  <c:v>3403</c:v>
                </c:pt>
                <c:pt idx="3">
                  <c:v>707</c:v>
                </c:pt>
                <c:pt idx="4">
                  <c:v>3221</c:v>
                </c:pt>
                <c:pt idx="5">
                  <c:v>1278</c:v>
                </c:pt>
                <c:pt idx="6">
                  <c:v>4496</c:v>
                </c:pt>
                <c:pt idx="7">
                  <c:v>1881</c:v>
                </c:pt>
                <c:pt idx="8">
                  <c:v>1645</c:v>
                </c:pt>
                <c:pt idx="9">
                  <c:v>5282</c:v>
                </c:pt>
                <c:pt idx="10">
                  <c:v>2492</c:v>
                </c:pt>
                <c:pt idx="11">
                  <c:v>3146</c:v>
                </c:pt>
                <c:pt idx="12">
                  <c:v>990</c:v>
                </c:pt>
                <c:pt idx="13">
                  <c:v>2749</c:v>
                </c:pt>
                <c:pt idx="14">
                  <c:v>1440</c:v>
                </c:pt>
                <c:pt idx="15">
                  <c:v>3686</c:v>
                </c:pt>
                <c:pt idx="16">
                  <c:v>6116</c:v>
                </c:pt>
                <c:pt idx="17">
                  <c:v>1464</c:v>
                </c:pt>
                <c:pt idx="18">
                  <c:v>2053</c:v>
                </c:pt>
                <c:pt idx="19">
                  <c:v>1806</c:v>
                </c:pt>
                <c:pt idx="20">
                  <c:v>1469</c:v>
                </c:pt>
                <c:pt idx="21">
                  <c:v>2689</c:v>
                </c:pt>
                <c:pt idx="22">
                  <c:v>1126</c:v>
                </c:pt>
                <c:pt idx="23">
                  <c:v>1384</c:v>
                </c:pt>
                <c:pt idx="24">
                  <c:v>1004</c:v>
                </c:pt>
                <c:pt idx="25">
                  <c:v>684</c:v>
                </c:pt>
                <c:pt idx="26">
                  <c:v>1150</c:v>
                </c:pt>
                <c:pt idx="27">
                  <c:v>1092</c:v>
                </c:pt>
                <c:pt idx="28">
                  <c:v>1174</c:v>
                </c:pt>
                <c:pt idx="29">
                  <c:v>3414</c:v>
                </c:pt>
                <c:pt idx="30">
                  <c:v>2115</c:v>
                </c:pt>
                <c:pt idx="31">
                  <c:v>4395</c:v>
                </c:pt>
                <c:pt idx="32">
                  <c:v>2794</c:v>
                </c:pt>
                <c:pt idx="33">
                  <c:v>1365</c:v>
                </c:pt>
                <c:pt idx="34">
                  <c:v>3959</c:v>
                </c:pt>
                <c:pt idx="35">
                  <c:v>1174</c:v>
                </c:pt>
                <c:pt idx="36">
                  <c:v>2607</c:v>
                </c:pt>
                <c:pt idx="37">
                  <c:v>1965</c:v>
                </c:pt>
                <c:pt idx="38">
                  <c:v>4394</c:v>
                </c:pt>
                <c:pt idx="39">
                  <c:v>1609</c:v>
                </c:pt>
                <c:pt idx="40">
                  <c:v>1039</c:v>
                </c:pt>
                <c:pt idx="41">
                  <c:v>752</c:v>
                </c:pt>
                <c:pt idx="42">
                  <c:v>968</c:v>
                </c:pt>
                <c:pt idx="43">
                  <c:v>3817</c:v>
                </c:pt>
                <c:pt idx="44">
                  <c:v>2899</c:v>
                </c:pt>
                <c:pt idx="45">
                  <c:v>1703</c:v>
                </c:pt>
                <c:pt idx="46">
                  <c:v>1012</c:v>
                </c:pt>
                <c:pt idx="47">
                  <c:v>3436</c:v>
                </c:pt>
                <c:pt idx="48">
                  <c:v>1900</c:v>
                </c:pt>
                <c:pt idx="49">
                  <c:v>2376</c:v>
                </c:pt>
                <c:pt idx="50">
                  <c:v>2425</c:v>
                </c:pt>
                <c:pt idx="51">
                  <c:v>2402</c:v>
                </c:pt>
                <c:pt idx="52">
                  <c:v>3444</c:v>
                </c:pt>
                <c:pt idx="53">
                  <c:v>2115</c:v>
                </c:pt>
                <c:pt idx="54">
                  <c:v>2245</c:v>
                </c:pt>
                <c:pt idx="55">
                  <c:v>1247</c:v>
                </c:pt>
                <c:pt idx="56">
                  <c:v>1547</c:v>
                </c:pt>
                <c:pt idx="57">
                  <c:v>1405</c:v>
                </c:pt>
                <c:pt idx="58">
                  <c:v>2401</c:v>
                </c:pt>
                <c:pt idx="59">
                  <c:v>1782</c:v>
                </c:pt>
                <c:pt idx="60">
                  <c:v>2637</c:v>
                </c:pt>
                <c:pt idx="61">
                  <c:v>2799</c:v>
                </c:pt>
                <c:pt idx="62">
                  <c:v>3747</c:v>
                </c:pt>
                <c:pt idx="63">
                  <c:v>3452</c:v>
                </c:pt>
              </c:numCache>
            </c:numRef>
          </c:xVal>
          <c:yVal>
            <c:numRef>
              <c:f>'city_population'!$G$2:$G$65</c:f>
              <c:numCache>
                <c:formatCode>General</c:formatCode>
                <c:ptCount val="64"/>
                <c:pt idx="0">
                  <c:v>805000</c:v>
                </c:pt>
                <c:pt idx="1">
                  <c:v>2299000</c:v>
                </c:pt>
                <c:pt idx="2">
                  <c:v>1532000</c:v>
                </c:pt>
                <c:pt idx="3">
                  <c:v>694000</c:v>
                </c:pt>
                <c:pt idx="4">
                  <c:v>1323000</c:v>
                </c:pt>
                <c:pt idx="5">
                  <c:v>1104000</c:v>
                </c:pt>
                <c:pt idx="6">
                  <c:v>246000</c:v>
                </c:pt>
                <c:pt idx="7">
                  <c:v>2268000</c:v>
                </c:pt>
                <c:pt idx="8">
                  <c:v>2150000</c:v>
                </c:pt>
                <c:pt idx="9">
                  <c:v>5744000</c:v>
                </c:pt>
                <c:pt idx="10">
                  <c:v>1502000</c:v>
                </c:pt>
                <c:pt idx="11">
                  <c:v>4264000</c:v>
                </c:pt>
                <c:pt idx="12">
                  <c:v>1158000</c:v>
                </c:pt>
                <c:pt idx="13">
                  <c:v>366000</c:v>
                </c:pt>
                <c:pt idx="14">
                  <c:v>1391000</c:v>
                </c:pt>
                <c:pt idx="15">
                  <c:v>2346000</c:v>
                </c:pt>
                <c:pt idx="16">
                  <c:v>430000</c:v>
                </c:pt>
                <c:pt idx="17">
                  <c:v>6164000</c:v>
                </c:pt>
                <c:pt idx="18">
                  <c:v>1559000</c:v>
                </c:pt>
                <c:pt idx="19">
                  <c:v>1683000</c:v>
                </c:pt>
                <c:pt idx="20">
                  <c:v>1097000</c:v>
                </c:pt>
                <c:pt idx="21">
                  <c:v>2388000</c:v>
                </c:pt>
                <c:pt idx="22">
                  <c:v>1106000</c:v>
                </c:pt>
                <c:pt idx="23">
                  <c:v>1216000</c:v>
                </c:pt>
                <c:pt idx="24">
                  <c:v>1229000</c:v>
                </c:pt>
                <c:pt idx="25">
                  <c:v>1819000</c:v>
                </c:pt>
                <c:pt idx="26">
                  <c:v>1710000</c:v>
                </c:pt>
                <c:pt idx="27">
                  <c:v>866000</c:v>
                </c:pt>
                <c:pt idx="28">
                  <c:v>986000</c:v>
                </c:pt>
                <c:pt idx="29">
                  <c:v>3108000</c:v>
                </c:pt>
                <c:pt idx="30">
                  <c:v>1943000</c:v>
                </c:pt>
                <c:pt idx="31">
                  <c:v>4097000</c:v>
                </c:pt>
                <c:pt idx="32">
                  <c:v>1791000</c:v>
                </c:pt>
                <c:pt idx="33">
                  <c:v>1179000</c:v>
                </c:pt>
                <c:pt idx="34">
                  <c:v>1489000</c:v>
                </c:pt>
                <c:pt idx="35">
                  <c:v>843000</c:v>
                </c:pt>
                <c:pt idx="36">
                  <c:v>2193000</c:v>
                </c:pt>
                <c:pt idx="37">
                  <c:v>1420000</c:v>
                </c:pt>
                <c:pt idx="38">
                  <c:v>2131000</c:v>
                </c:pt>
                <c:pt idx="39">
                  <c:v>1562000</c:v>
                </c:pt>
                <c:pt idx="40">
                  <c:v>752000</c:v>
                </c:pt>
                <c:pt idx="41">
                  <c:v>511000</c:v>
                </c:pt>
                <c:pt idx="42">
                  <c:v>682000</c:v>
                </c:pt>
                <c:pt idx="43">
                  <c:v>1660000</c:v>
                </c:pt>
                <c:pt idx="44">
                  <c:v>2799000</c:v>
                </c:pt>
                <c:pt idx="45">
                  <c:v>1231000</c:v>
                </c:pt>
                <c:pt idx="46">
                  <c:v>802000</c:v>
                </c:pt>
                <c:pt idx="47">
                  <c:v>2251000</c:v>
                </c:pt>
                <c:pt idx="48">
                  <c:v>1455000</c:v>
                </c:pt>
                <c:pt idx="49">
                  <c:v>2017000</c:v>
                </c:pt>
                <c:pt idx="50">
                  <c:v>1988000</c:v>
                </c:pt>
                <c:pt idx="51">
                  <c:v>2374000</c:v>
                </c:pt>
                <c:pt idx="52">
                  <c:v>2371000</c:v>
                </c:pt>
                <c:pt idx="53">
                  <c:v>2041000</c:v>
                </c:pt>
                <c:pt idx="54">
                  <c:v>1680000</c:v>
                </c:pt>
                <c:pt idx="55">
                  <c:v>999000</c:v>
                </c:pt>
                <c:pt idx="56">
                  <c:v>1416000</c:v>
                </c:pt>
                <c:pt idx="57">
                  <c:v>746000</c:v>
                </c:pt>
                <c:pt idx="58">
                  <c:v>2271000</c:v>
                </c:pt>
                <c:pt idx="59">
                  <c:v>1059000</c:v>
                </c:pt>
                <c:pt idx="60">
                  <c:v>1612000</c:v>
                </c:pt>
                <c:pt idx="61">
                  <c:v>1454000</c:v>
                </c:pt>
                <c:pt idx="62">
                  <c:v>1802000</c:v>
                </c:pt>
                <c:pt idx="63">
                  <c:v>2282000</c:v>
                </c:pt>
              </c:numCache>
            </c:numRef>
          </c:yVal>
          <c:smooth val="0"/>
          <c:extLst>
            <c:ext xmlns:c16="http://schemas.microsoft.com/office/drawing/2014/chart" uri="{C3380CC4-5D6E-409C-BE32-E72D297353CC}">
              <c16:uniqueId val="{00000000-88DC-46FA-84DD-EF0DC247E4B5}"/>
            </c:ext>
          </c:extLst>
        </c:ser>
        <c:dLbls>
          <c:showLegendKey val="0"/>
          <c:showVal val="0"/>
          <c:showCatName val="0"/>
          <c:showSerName val="0"/>
          <c:showPercent val="0"/>
          <c:showBubbleSize val="0"/>
        </c:dLbls>
        <c:axId val="891006383"/>
        <c:axId val="891007343"/>
      </c:scatterChart>
      <c:valAx>
        <c:axId val="89100638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Population (2022)</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007343"/>
        <c:crosses val="autoZero"/>
        <c:crossBetween val="midCat"/>
      </c:valAx>
      <c:valAx>
        <c:axId val="89100734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Area (km2)</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006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 Polution.xlsx]pivot_table2!PivotTable2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Population Trend by Devision (1991-2022)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1750" cap="rnd">
            <a:solidFill>
              <a:schemeClr val="accent1"/>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1750" cap="rnd">
            <a:solidFill>
              <a:schemeClr val="accent1"/>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pivot_table2!$B$3:$B$4</c:f>
              <c:strCache>
                <c:ptCount val="1"/>
                <c:pt idx="0">
                  <c:v>Barisal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pivot_table2!$B$5:$B$8</c:f>
              <c:numCache>
                <c:formatCode>General</c:formatCode>
                <c:ptCount val="4"/>
                <c:pt idx="0">
                  <c:v>7757000</c:v>
                </c:pt>
                <c:pt idx="1">
                  <c:v>8549026</c:v>
                </c:pt>
                <c:pt idx="2">
                  <c:v>8652321</c:v>
                </c:pt>
                <c:pt idx="3">
                  <c:v>9325821</c:v>
                </c:pt>
              </c:numCache>
            </c:numRef>
          </c:val>
          <c:smooth val="0"/>
          <c:extLst>
            <c:ext xmlns:c16="http://schemas.microsoft.com/office/drawing/2014/chart" uri="{C3380CC4-5D6E-409C-BE32-E72D297353CC}">
              <c16:uniqueId val="{00000000-3301-4135-8226-1E460066D1CC}"/>
            </c:ext>
          </c:extLst>
        </c:ser>
        <c:ser>
          <c:idx val="1"/>
          <c:order val="1"/>
          <c:tx>
            <c:strRef>
              <c:f>pivot_table2!$C$3:$C$4</c:f>
              <c:strCache>
                <c:ptCount val="1"/>
                <c:pt idx="0">
                  <c:v>Chattogram</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pivot_table2!$C$5:$C$8</c:f>
              <c:numCache>
                <c:formatCode>General</c:formatCode>
                <c:ptCount val="4"/>
                <c:pt idx="0">
                  <c:v>21865000</c:v>
                </c:pt>
                <c:pt idx="1">
                  <c:v>25505197</c:v>
                </c:pt>
                <c:pt idx="2">
                  <c:v>29553855</c:v>
                </c:pt>
                <c:pt idx="3">
                  <c:v>34178611</c:v>
                </c:pt>
              </c:numCache>
            </c:numRef>
          </c:val>
          <c:smooth val="0"/>
          <c:extLst>
            <c:ext xmlns:c16="http://schemas.microsoft.com/office/drawing/2014/chart" uri="{C3380CC4-5D6E-409C-BE32-E72D297353CC}">
              <c16:uniqueId val="{00000001-3301-4135-8226-1E460066D1CC}"/>
            </c:ext>
          </c:extLst>
        </c:ser>
        <c:ser>
          <c:idx val="2"/>
          <c:order val="2"/>
          <c:tx>
            <c:strRef>
              <c:f>pivot_table2!$D$3:$D$4</c:f>
              <c:strCache>
                <c:ptCount val="1"/>
                <c:pt idx="0">
                  <c:v>Dhaka</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pivot_table2!$D$5:$D$8</c:f>
              <c:numCache>
                <c:formatCode>General</c:formatCode>
                <c:ptCount val="4"/>
                <c:pt idx="0">
                  <c:v>24931000</c:v>
                </c:pt>
                <c:pt idx="1">
                  <c:v>30806667</c:v>
                </c:pt>
                <c:pt idx="2">
                  <c:v>37893924</c:v>
                </c:pt>
                <c:pt idx="3">
                  <c:v>45644586</c:v>
                </c:pt>
              </c:numCache>
            </c:numRef>
          </c:val>
          <c:smooth val="0"/>
          <c:extLst>
            <c:ext xmlns:c16="http://schemas.microsoft.com/office/drawing/2014/chart" uri="{C3380CC4-5D6E-409C-BE32-E72D297353CC}">
              <c16:uniqueId val="{00000002-3301-4135-8226-1E460066D1CC}"/>
            </c:ext>
          </c:extLst>
        </c:ser>
        <c:ser>
          <c:idx val="3"/>
          <c:order val="3"/>
          <c:tx>
            <c:strRef>
              <c:f>pivot_table2!$E$3:$E$4</c:f>
              <c:strCache>
                <c:ptCount val="1"/>
                <c:pt idx="0">
                  <c:v>Khulna</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pivot_table2!$E$5:$E$8</c:f>
              <c:numCache>
                <c:formatCode>General</c:formatCode>
                <c:ptCount val="4"/>
                <c:pt idx="0">
                  <c:v>13243000</c:v>
                </c:pt>
                <c:pt idx="1">
                  <c:v>15418650</c:v>
                </c:pt>
                <c:pt idx="2">
                  <c:v>16309307</c:v>
                </c:pt>
                <c:pt idx="3">
                  <c:v>17813219</c:v>
                </c:pt>
              </c:numCache>
            </c:numRef>
          </c:val>
          <c:smooth val="0"/>
          <c:extLst>
            <c:ext xmlns:c16="http://schemas.microsoft.com/office/drawing/2014/chart" uri="{C3380CC4-5D6E-409C-BE32-E72D297353CC}">
              <c16:uniqueId val="{00000003-3301-4135-8226-1E460066D1CC}"/>
            </c:ext>
          </c:extLst>
        </c:ser>
        <c:ser>
          <c:idx val="4"/>
          <c:order val="4"/>
          <c:tx>
            <c:strRef>
              <c:f>pivot_table2!$F$3:$F$4</c:f>
              <c:strCache>
                <c:ptCount val="1"/>
                <c:pt idx="0">
                  <c:v>Mymensingh</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pivot_table2!$F$5:$F$8</c:f>
              <c:numCache>
                <c:formatCode>General</c:formatCode>
                <c:ptCount val="4"/>
                <c:pt idx="0">
                  <c:v>9010000</c:v>
                </c:pt>
                <c:pt idx="1">
                  <c:v>10321282</c:v>
                </c:pt>
                <c:pt idx="2">
                  <c:v>11427765</c:v>
                </c:pt>
                <c:pt idx="3">
                  <c:v>12637472</c:v>
                </c:pt>
              </c:numCache>
            </c:numRef>
          </c:val>
          <c:smooth val="0"/>
          <c:extLst>
            <c:ext xmlns:c16="http://schemas.microsoft.com/office/drawing/2014/chart" uri="{C3380CC4-5D6E-409C-BE32-E72D297353CC}">
              <c16:uniqueId val="{00000004-3301-4135-8226-1E460066D1CC}"/>
            </c:ext>
          </c:extLst>
        </c:ser>
        <c:ser>
          <c:idx val="5"/>
          <c:order val="5"/>
          <c:tx>
            <c:strRef>
              <c:f>pivot_table2!$G$3:$G$4</c:f>
              <c:strCache>
                <c:ptCount val="1"/>
                <c:pt idx="0">
                  <c:v>Rajshahi</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pivot_table2!$G$5:$G$8</c:f>
              <c:numCache>
                <c:formatCode>General</c:formatCode>
                <c:ptCount val="4"/>
                <c:pt idx="0">
                  <c:v>14917000</c:v>
                </c:pt>
                <c:pt idx="1">
                  <c:v>17129332</c:v>
                </c:pt>
                <c:pt idx="2">
                  <c:v>19225903</c:v>
                </c:pt>
                <c:pt idx="3">
                  <c:v>20794019</c:v>
                </c:pt>
              </c:numCache>
            </c:numRef>
          </c:val>
          <c:smooth val="0"/>
          <c:extLst>
            <c:ext xmlns:c16="http://schemas.microsoft.com/office/drawing/2014/chart" uri="{C3380CC4-5D6E-409C-BE32-E72D297353CC}">
              <c16:uniqueId val="{00000005-3301-4135-8226-1E460066D1CC}"/>
            </c:ext>
          </c:extLst>
        </c:ser>
        <c:ser>
          <c:idx val="6"/>
          <c:order val="6"/>
          <c:tx>
            <c:strRef>
              <c:f>pivot_table2!$H$3:$H$4</c:f>
              <c:strCache>
                <c:ptCount val="1"/>
                <c:pt idx="0">
                  <c:v>Rangpur</c:v>
                </c:pt>
              </c:strCache>
            </c:strRef>
          </c:tx>
          <c:spPr>
            <a:ln w="31750" cap="rnd">
              <a:solidFill>
                <a:schemeClr val="accent1">
                  <a:lumMod val="60000"/>
                </a:schemeClr>
              </a:solidFill>
              <a:round/>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pivot_table2!$H$5:$H$8</c:f>
              <c:numCache>
                <c:formatCode>General</c:formatCode>
                <c:ptCount val="4"/>
                <c:pt idx="0">
                  <c:v>12583000</c:v>
                </c:pt>
                <c:pt idx="1">
                  <c:v>14484503</c:v>
                </c:pt>
                <c:pt idx="2">
                  <c:v>16412281</c:v>
                </c:pt>
                <c:pt idx="3">
                  <c:v>18020072</c:v>
                </c:pt>
              </c:numCache>
            </c:numRef>
          </c:val>
          <c:smooth val="0"/>
          <c:extLst>
            <c:ext xmlns:c16="http://schemas.microsoft.com/office/drawing/2014/chart" uri="{C3380CC4-5D6E-409C-BE32-E72D297353CC}">
              <c16:uniqueId val="{00000006-3301-4135-8226-1E460066D1CC}"/>
            </c:ext>
          </c:extLst>
        </c:ser>
        <c:ser>
          <c:idx val="7"/>
          <c:order val="7"/>
          <c:tx>
            <c:strRef>
              <c:f>pivot_table2!$I$3:$I$4</c:f>
              <c:strCache>
                <c:ptCount val="1"/>
                <c:pt idx="0">
                  <c:v>Sylhet</c:v>
                </c:pt>
              </c:strCache>
            </c:strRef>
          </c:tx>
          <c:spPr>
            <a:ln w="31750" cap="rnd">
              <a:solidFill>
                <a:schemeClr val="accent2">
                  <a:lumMod val="60000"/>
                </a:schemeClr>
              </a:solidFill>
              <a:round/>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cat>
            <c:strRef>
              <c:f>pivot_table2!$A$5:$A$8</c:f>
              <c:strCache>
                <c:ptCount val="4"/>
                <c:pt idx="0">
                  <c:v>1991</c:v>
                </c:pt>
                <c:pt idx="1">
                  <c:v>2001</c:v>
                </c:pt>
                <c:pt idx="2">
                  <c:v>2011</c:v>
                </c:pt>
                <c:pt idx="3">
                  <c:v>2022</c:v>
                </c:pt>
              </c:strCache>
            </c:strRef>
          </c:cat>
          <c:val>
            <c:numRef>
              <c:f>pivot_table2!$I$5:$I$8</c:f>
              <c:numCache>
                <c:formatCode>General</c:formatCode>
                <c:ptCount val="4"/>
                <c:pt idx="0">
                  <c:v>7150000</c:v>
                </c:pt>
                <c:pt idx="1">
                  <c:v>8307941</c:v>
                </c:pt>
                <c:pt idx="2">
                  <c:v>10296996</c:v>
                </c:pt>
                <c:pt idx="3">
                  <c:v>11415113</c:v>
                </c:pt>
              </c:numCache>
            </c:numRef>
          </c:val>
          <c:smooth val="0"/>
          <c:extLst>
            <c:ext xmlns:c16="http://schemas.microsoft.com/office/drawing/2014/chart" uri="{C3380CC4-5D6E-409C-BE32-E72D297353CC}">
              <c16:uniqueId val="{00000007-3301-4135-8226-1E460066D1CC}"/>
            </c:ext>
          </c:extLst>
        </c:ser>
        <c:dLbls>
          <c:showLegendKey val="0"/>
          <c:showVal val="0"/>
          <c:showCatName val="0"/>
          <c:showSerName val="0"/>
          <c:showPercent val="0"/>
          <c:showBubbleSize val="0"/>
        </c:dLbls>
        <c:marker val="1"/>
        <c:smooth val="0"/>
        <c:axId val="311675567"/>
        <c:axId val="311677007"/>
      </c:lineChart>
      <c:catAx>
        <c:axId val="3116755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677007"/>
        <c:crosses val="autoZero"/>
        <c:auto val="1"/>
        <c:lblAlgn val="ctr"/>
        <c:lblOffset val="100"/>
        <c:noMultiLvlLbl val="0"/>
      </c:catAx>
      <c:valAx>
        <c:axId val="3116770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167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 Polution.xlsx]pivot_table!PivotTable1</c:name>
    <c:fmtId val="7"/>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a:t>Top 10 Most Populous Districts (2022)</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DD-458A-9EB2-F1008FF5AD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DD-458A-9EB2-F1008FF5AD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DD-458A-9EB2-F1008FF5AD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7DD-458A-9EB2-F1008FF5AD5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7DD-458A-9EB2-F1008FF5AD5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7DD-458A-9EB2-F1008FF5AD5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7DD-458A-9EB2-F1008FF5AD5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7DD-458A-9EB2-F1008FF5AD5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7DD-458A-9EB2-F1008FF5AD5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7DD-458A-9EB2-F1008FF5AD5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pivot_table!$A$4:$A$16</c:f>
              <c:strCache>
                <c:ptCount val="13"/>
                <c:pt idx="0">
                  <c:v>Dhaka</c:v>
                </c:pt>
                <c:pt idx="1">
                  <c:v>Gazipur</c:v>
                </c:pt>
                <c:pt idx="2">
                  <c:v>Tangail</c:v>
                </c:pt>
                <c:pt idx="3">
                  <c:v>Narayanganj</c:v>
                </c:pt>
                <c:pt idx="4">
                  <c:v>Kishoreganj</c:v>
                </c:pt>
                <c:pt idx="5">
                  <c:v>Narsingdi</c:v>
                </c:pt>
                <c:pt idx="6">
                  <c:v>Faridpur</c:v>
                </c:pt>
                <c:pt idx="7">
                  <c:v>Munshiganj</c:v>
                </c:pt>
                <c:pt idx="8">
                  <c:v>Manikganj</c:v>
                </c:pt>
                <c:pt idx="9">
                  <c:v>Gopalganj</c:v>
                </c:pt>
                <c:pt idx="10">
                  <c:v>Shariatpur</c:v>
                </c:pt>
                <c:pt idx="11">
                  <c:v>Madaripur</c:v>
                </c:pt>
                <c:pt idx="12">
                  <c:v>Rajbari</c:v>
                </c:pt>
              </c:strCache>
            </c:strRef>
          </c:cat>
          <c:val>
            <c:numRef>
              <c:f>pivot_table!$B$4:$B$16</c:f>
              <c:numCache>
                <c:formatCode>General</c:formatCode>
                <c:ptCount val="13"/>
                <c:pt idx="0">
                  <c:v>15210851</c:v>
                </c:pt>
                <c:pt idx="1">
                  <c:v>5433538</c:v>
                </c:pt>
                <c:pt idx="2">
                  <c:v>4168083</c:v>
                </c:pt>
                <c:pt idx="3">
                  <c:v>4035461</c:v>
                </c:pt>
                <c:pt idx="4">
                  <c:v>3373219</c:v>
                </c:pt>
                <c:pt idx="5">
                  <c:v>2667968</c:v>
                </c:pt>
                <c:pt idx="6">
                  <c:v>2232772</c:v>
                </c:pt>
                <c:pt idx="7">
                  <c:v>1677941</c:v>
                </c:pt>
                <c:pt idx="8">
                  <c:v>1608372</c:v>
                </c:pt>
                <c:pt idx="9">
                  <c:v>1336907</c:v>
                </c:pt>
                <c:pt idx="10">
                  <c:v>1336396</c:v>
                </c:pt>
                <c:pt idx="11">
                  <c:v>1334811</c:v>
                </c:pt>
                <c:pt idx="12">
                  <c:v>1228267</c:v>
                </c:pt>
              </c:numCache>
            </c:numRef>
          </c:val>
          <c:extLst>
            <c:ext xmlns:c16="http://schemas.microsoft.com/office/drawing/2014/chart" uri="{C3380CC4-5D6E-409C-BE32-E72D297353CC}">
              <c16:uniqueId val="{00000014-67DD-458A-9EB2-F1008FF5AD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 Polution.xlsx]Sheet4!PivotTable3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of Population Density 2022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Sheet4!$A$4:$A$16</c:f>
              <c:strCache>
                <c:ptCount val="13"/>
                <c:pt idx="0">
                  <c:v>Dhaka</c:v>
                </c:pt>
                <c:pt idx="1">
                  <c:v>Narayanganj</c:v>
                </c:pt>
                <c:pt idx="2">
                  <c:v>Gazipur</c:v>
                </c:pt>
                <c:pt idx="3">
                  <c:v>Narsingdi</c:v>
                </c:pt>
                <c:pt idx="4">
                  <c:v>Munshiganj</c:v>
                </c:pt>
                <c:pt idx="5">
                  <c:v>Kishoreganj</c:v>
                </c:pt>
                <c:pt idx="6">
                  <c:v>Tangail</c:v>
                </c:pt>
                <c:pt idx="7">
                  <c:v>Madaripur</c:v>
                </c:pt>
                <c:pt idx="8">
                  <c:v>Manikganj</c:v>
                </c:pt>
                <c:pt idx="9">
                  <c:v>Shariatpur</c:v>
                </c:pt>
                <c:pt idx="10">
                  <c:v>Rajbari</c:v>
                </c:pt>
                <c:pt idx="11">
                  <c:v>Faridpur</c:v>
                </c:pt>
                <c:pt idx="12">
                  <c:v>Gopalganj</c:v>
                </c:pt>
              </c:strCache>
            </c:strRef>
          </c:cat>
          <c:val>
            <c:numRef>
              <c:f>Sheet4!$B$4:$B$16</c:f>
              <c:numCache>
                <c:formatCode>General</c:formatCode>
                <c:ptCount val="13"/>
                <c:pt idx="0">
                  <c:v>10389.925546448087</c:v>
                </c:pt>
                <c:pt idx="1">
                  <c:v>5899.7967836257312</c:v>
                </c:pt>
                <c:pt idx="2">
                  <c:v>3008.6035437430787</c:v>
                </c:pt>
                <c:pt idx="3">
                  <c:v>2319.9721739130437</c:v>
                </c:pt>
                <c:pt idx="4">
                  <c:v>1671.2559760956176</c:v>
                </c:pt>
                <c:pt idx="5">
                  <c:v>1254.451097062105</c:v>
                </c:pt>
                <c:pt idx="6">
                  <c:v>1220.8796133567662</c:v>
                </c:pt>
                <c:pt idx="7">
                  <c:v>1185.4449378330373</c:v>
                </c:pt>
                <c:pt idx="8">
                  <c:v>1162.1184971098266</c:v>
                </c:pt>
                <c:pt idx="9">
                  <c:v>1138.3270868824532</c:v>
                </c:pt>
                <c:pt idx="10">
                  <c:v>1124.78663003663</c:v>
                </c:pt>
                <c:pt idx="11">
                  <c:v>1087.5655138821237</c:v>
                </c:pt>
                <c:pt idx="12">
                  <c:v>910.07964601769913</c:v>
                </c:pt>
              </c:numCache>
            </c:numRef>
          </c:val>
          <c:extLst>
            <c:ext xmlns:c16="http://schemas.microsoft.com/office/drawing/2014/chart" uri="{C3380CC4-5D6E-409C-BE32-E72D297353CC}">
              <c16:uniqueId val="{00000000-1F1C-4120-A7FC-EA921D695405}"/>
            </c:ext>
          </c:extLst>
        </c:ser>
        <c:dLbls>
          <c:showLegendKey val="0"/>
          <c:showVal val="0"/>
          <c:showCatName val="0"/>
          <c:showSerName val="0"/>
          <c:showPercent val="0"/>
          <c:showBubbleSize val="0"/>
        </c:dLbls>
        <c:gapWidth val="100"/>
        <c:overlap val="-24"/>
        <c:axId val="891005903"/>
        <c:axId val="891004463"/>
      </c:barChart>
      <c:catAx>
        <c:axId val="891005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004463"/>
        <c:crosses val="autoZero"/>
        <c:auto val="1"/>
        <c:lblAlgn val="ctr"/>
        <c:lblOffset val="100"/>
        <c:noMultiLvlLbl val="0"/>
      </c:catAx>
      <c:valAx>
        <c:axId val="8910044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00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9525</xdr:colOff>
      <xdr:row>6</xdr:row>
      <xdr:rowOff>23812</xdr:rowOff>
    </xdr:from>
    <xdr:to>
      <xdr:col>24</xdr:col>
      <xdr:colOff>247650</xdr:colOff>
      <xdr:row>20</xdr:row>
      <xdr:rowOff>100012</xdr:rowOff>
    </xdr:to>
    <xdr:graphicFrame macro="">
      <xdr:nvGraphicFramePr>
        <xdr:cNvPr id="2" name="Chart 1">
          <a:extLst>
            <a:ext uri="{FF2B5EF4-FFF2-40B4-BE49-F238E27FC236}">
              <a16:creationId xmlns:a16="http://schemas.microsoft.com/office/drawing/2014/main" id="{BF800DEA-C315-B424-5734-63D99B043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95250</xdr:colOff>
      <xdr:row>0</xdr:row>
      <xdr:rowOff>123825</xdr:rowOff>
    </xdr:from>
    <xdr:to>
      <xdr:col>33</xdr:col>
      <xdr:colOff>295275</xdr:colOff>
      <xdr:row>39</xdr:row>
      <xdr:rowOff>114300</xdr:rowOff>
    </xdr:to>
    <xdr:sp macro="" textlink="">
      <xdr:nvSpPr>
        <xdr:cNvPr id="2" name="Rectangle: Rounded Corners 1">
          <a:extLst>
            <a:ext uri="{FF2B5EF4-FFF2-40B4-BE49-F238E27FC236}">
              <a16:creationId xmlns:a16="http://schemas.microsoft.com/office/drawing/2014/main" id="{8B4DE267-4DC5-9F55-C7FA-8EF4B9DC4D71}"/>
            </a:ext>
          </a:extLst>
        </xdr:cNvPr>
        <xdr:cNvSpPr/>
      </xdr:nvSpPr>
      <xdr:spPr>
        <a:xfrm>
          <a:off x="2533650" y="123825"/>
          <a:ext cx="17878425" cy="7419975"/>
        </a:xfrm>
        <a:prstGeom prst="roundRect">
          <a:avLst>
            <a:gd name="adj" fmla="val 2717"/>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295275</xdr:colOff>
      <xdr:row>4</xdr:row>
      <xdr:rowOff>0</xdr:rowOff>
    </xdr:from>
    <xdr:to>
      <xdr:col>15</xdr:col>
      <xdr:colOff>114299</xdr:colOff>
      <xdr:row>7</xdr:row>
      <xdr:rowOff>152400</xdr:rowOff>
    </xdr:to>
    <xdr:sp macro="" textlink="">
      <xdr:nvSpPr>
        <xdr:cNvPr id="3" name="Rectangle: Rounded Corners 2">
          <a:extLst>
            <a:ext uri="{FF2B5EF4-FFF2-40B4-BE49-F238E27FC236}">
              <a16:creationId xmlns:a16="http://schemas.microsoft.com/office/drawing/2014/main" id="{7F26DB4E-A849-DE14-7441-5B4F13047B51}"/>
            </a:ext>
          </a:extLst>
        </xdr:cNvPr>
        <xdr:cNvSpPr/>
      </xdr:nvSpPr>
      <xdr:spPr>
        <a:xfrm>
          <a:off x="6391275" y="762000"/>
          <a:ext cx="2867024" cy="72390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chemeClr val="tx1"/>
              </a:solidFill>
            </a:rPr>
            <a:t>Total Division-</a:t>
          </a:r>
          <a:r>
            <a:rPr lang="en-US" sz="2200" b="1" baseline="0">
              <a:solidFill>
                <a:schemeClr val="tx1"/>
              </a:solidFill>
            </a:rPr>
            <a:t> 7</a:t>
          </a:r>
          <a:endParaRPr lang="en-US" sz="2200" b="1">
            <a:solidFill>
              <a:schemeClr val="lt1"/>
            </a:solidFill>
            <a:effectLst/>
          </a:endParaRPr>
        </a:p>
      </xdr:txBody>
    </xdr:sp>
    <xdr:clientData/>
  </xdr:twoCellAnchor>
  <xdr:twoCellAnchor>
    <xdr:from>
      <xdr:col>15</xdr:col>
      <xdr:colOff>457200</xdr:colOff>
      <xdr:row>4</xdr:row>
      <xdr:rowOff>0</xdr:rowOff>
    </xdr:from>
    <xdr:to>
      <xdr:col>20</xdr:col>
      <xdr:colOff>257176</xdr:colOff>
      <xdr:row>7</xdr:row>
      <xdr:rowOff>152400</xdr:rowOff>
    </xdr:to>
    <xdr:sp macro="" textlink="">
      <xdr:nvSpPr>
        <xdr:cNvPr id="7" name="Rectangle: Rounded Corners 6">
          <a:extLst>
            <a:ext uri="{FF2B5EF4-FFF2-40B4-BE49-F238E27FC236}">
              <a16:creationId xmlns:a16="http://schemas.microsoft.com/office/drawing/2014/main" id="{0728962E-4D0A-4D49-866F-80B402C33596}"/>
            </a:ext>
          </a:extLst>
        </xdr:cNvPr>
        <xdr:cNvSpPr/>
      </xdr:nvSpPr>
      <xdr:spPr>
        <a:xfrm>
          <a:off x="9601200" y="762000"/>
          <a:ext cx="2847976" cy="72390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chemeClr val="tx1"/>
              </a:solidFill>
              <a:effectLst/>
              <a:latin typeface="+mn-lt"/>
              <a:ea typeface="+mn-ea"/>
              <a:cs typeface="+mn-cs"/>
            </a:rPr>
            <a:t>Total District-</a:t>
          </a:r>
          <a:r>
            <a:rPr lang="en-US" sz="2200" b="1" baseline="0">
              <a:solidFill>
                <a:schemeClr val="tx1"/>
              </a:solidFill>
              <a:effectLst/>
              <a:latin typeface="+mn-lt"/>
              <a:ea typeface="+mn-ea"/>
              <a:cs typeface="+mn-cs"/>
            </a:rPr>
            <a:t> </a:t>
          </a:r>
          <a:r>
            <a:rPr lang="en-US" sz="2200" b="1">
              <a:solidFill>
                <a:schemeClr val="tx1"/>
              </a:solidFill>
              <a:effectLst/>
              <a:latin typeface="+mn-lt"/>
              <a:ea typeface="+mn-ea"/>
              <a:cs typeface="+mn-cs"/>
            </a:rPr>
            <a:t>64</a:t>
          </a:r>
          <a:endParaRPr lang="en-US" sz="2200" b="1">
            <a:solidFill>
              <a:schemeClr val="tx1"/>
            </a:solidFill>
            <a:effectLst/>
          </a:endParaRPr>
        </a:p>
      </xdr:txBody>
    </xdr:sp>
    <xdr:clientData/>
  </xdr:twoCellAnchor>
  <xdr:twoCellAnchor>
    <xdr:from>
      <xdr:col>20</xdr:col>
      <xdr:colOff>571500</xdr:colOff>
      <xdr:row>4</xdr:row>
      <xdr:rowOff>9525</xdr:rowOff>
    </xdr:from>
    <xdr:to>
      <xdr:col>26</xdr:col>
      <xdr:colOff>209550</xdr:colOff>
      <xdr:row>7</xdr:row>
      <xdr:rowOff>161925</xdr:rowOff>
    </xdr:to>
    <xdr:sp macro="" textlink="">
      <xdr:nvSpPr>
        <xdr:cNvPr id="8" name="Rectangle: Rounded Corners 7">
          <a:extLst>
            <a:ext uri="{FF2B5EF4-FFF2-40B4-BE49-F238E27FC236}">
              <a16:creationId xmlns:a16="http://schemas.microsoft.com/office/drawing/2014/main" id="{3AB7E917-765C-4EEE-B05B-8FD2F83EB71D}"/>
            </a:ext>
          </a:extLst>
        </xdr:cNvPr>
        <xdr:cNvSpPr/>
      </xdr:nvSpPr>
      <xdr:spPr>
        <a:xfrm>
          <a:off x="12763500" y="771525"/>
          <a:ext cx="3295650" cy="72390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chemeClr val="tx1"/>
              </a:solidFill>
            </a:rPr>
            <a:t>Total Area-</a:t>
          </a:r>
          <a:r>
            <a:rPr lang="en-US" sz="2200" b="1" baseline="0">
              <a:solidFill>
                <a:schemeClr val="tx1"/>
              </a:solidFill>
            </a:rPr>
            <a:t> </a:t>
          </a:r>
          <a:r>
            <a:rPr lang="en-US" sz="2200" b="1" i="0" u="none" strike="noStrike">
              <a:solidFill>
                <a:schemeClr val="tx1"/>
              </a:solidFill>
              <a:effectLst/>
              <a:latin typeface="+mn-lt"/>
              <a:ea typeface="+mn-ea"/>
              <a:cs typeface="+mn-cs"/>
            </a:rPr>
            <a:t>1,47,584</a:t>
          </a:r>
          <a:r>
            <a:rPr lang="en-US" sz="2200" b="1">
              <a:solidFill>
                <a:schemeClr val="tx1"/>
              </a:solidFill>
              <a:effectLst/>
            </a:rPr>
            <a:t> </a:t>
          </a:r>
          <a:endParaRPr lang="en-US" sz="2200" b="1">
            <a:solidFill>
              <a:schemeClr val="tx1"/>
            </a:solidFill>
          </a:endParaRPr>
        </a:p>
      </xdr:txBody>
    </xdr:sp>
    <xdr:clientData/>
  </xdr:twoCellAnchor>
  <xdr:twoCellAnchor>
    <xdr:from>
      <xdr:col>26</xdr:col>
      <xdr:colOff>600075</xdr:colOff>
      <xdr:row>3</xdr:row>
      <xdr:rowOff>161925</xdr:rowOff>
    </xdr:from>
    <xdr:to>
      <xdr:col>31</xdr:col>
      <xdr:colOff>438150</xdr:colOff>
      <xdr:row>20</xdr:row>
      <xdr:rowOff>104775</xdr:rowOff>
    </xdr:to>
    <xdr:grpSp>
      <xdr:nvGrpSpPr>
        <xdr:cNvPr id="29" name="Group 28">
          <a:extLst>
            <a:ext uri="{FF2B5EF4-FFF2-40B4-BE49-F238E27FC236}">
              <a16:creationId xmlns:a16="http://schemas.microsoft.com/office/drawing/2014/main" id="{96967889-76C3-12EE-C85E-D506BBE9AC9F}"/>
            </a:ext>
          </a:extLst>
        </xdr:cNvPr>
        <xdr:cNvGrpSpPr/>
      </xdr:nvGrpSpPr>
      <xdr:grpSpPr>
        <a:xfrm>
          <a:off x="16449675" y="733425"/>
          <a:ext cx="2886075" cy="3181350"/>
          <a:chOff x="14068425" y="704850"/>
          <a:chExt cx="2362200" cy="3181350"/>
        </a:xfrm>
      </xdr:grpSpPr>
      <xdr:sp macro="" textlink="">
        <xdr:nvSpPr>
          <xdr:cNvPr id="9" name="Rectangle: Rounded Corners 8">
            <a:extLst>
              <a:ext uri="{FF2B5EF4-FFF2-40B4-BE49-F238E27FC236}">
                <a16:creationId xmlns:a16="http://schemas.microsoft.com/office/drawing/2014/main" id="{8AC531C9-4F9D-4B8C-9A1E-AB9AB29EFE82}"/>
              </a:ext>
            </a:extLst>
          </xdr:cNvPr>
          <xdr:cNvSpPr/>
        </xdr:nvSpPr>
        <xdr:spPr>
          <a:xfrm>
            <a:off x="14068425" y="704850"/>
            <a:ext cx="2362200" cy="318135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5" name="Division 1">
                <a:extLst>
                  <a:ext uri="{FF2B5EF4-FFF2-40B4-BE49-F238E27FC236}">
                    <a16:creationId xmlns:a16="http://schemas.microsoft.com/office/drawing/2014/main" id="{E97E372A-F5B8-4D81-AC2C-816AB6DD3915}"/>
                  </a:ext>
                </a:extLst>
              </xdr:cNvPr>
              <xdr:cNvGraphicFramePr/>
            </xdr:nvGraphicFramePr>
            <xdr:xfrm>
              <a:off x="14268450" y="942975"/>
              <a:ext cx="1981200" cy="274320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16694060" y="971550"/>
                <a:ext cx="2420579"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590550</xdr:colOff>
      <xdr:row>22</xdr:row>
      <xdr:rowOff>28575</xdr:rowOff>
    </xdr:from>
    <xdr:to>
      <xdr:col>16</xdr:col>
      <xdr:colOff>142875</xdr:colOff>
      <xdr:row>35</xdr:row>
      <xdr:rowOff>133350</xdr:rowOff>
    </xdr:to>
    <xdr:grpSp>
      <xdr:nvGrpSpPr>
        <xdr:cNvPr id="23" name="Group 22">
          <a:extLst>
            <a:ext uri="{FF2B5EF4-FFF2-40B4-BE49-F238E27FC236}">
              <a16:creationId xmlns:a16="http://schemas.microsoft.com/office/drawing/2014/main" id="{59DF7118-8055-E517-CD80-F1244744BF1D}"/>
            </a:ext>
          </a:extLst>
        </xdr:cNvPr>
        <xdr:cNvGrpSpPr/>
      </xdr:nvGrpSpPr>
      <xdr:grpSpPr>
        <a:xfrm>
          <a:off x="3638550" y="4219575"/>
          <a:ext cx="6257925" cy="2581275"/>
          <a:chOff x="3638549" y="1733548"/>
          <a:chExt cx="4181475" cy="2171702"/>
        </a:xfrm>
      </xdr:grpSpPr>
      <xdr:sp macro="" textlink="">
        <xdr:nvSpPr>
          <xdr:cNvPr id="10" name="Rectangle: Rounded Corners 9">
            <a:extLst>
              <a:ext uri="{FF2B5EF4-FFF2-40B4-BE49-F238E27FC236}">
                <a16:creationId xmlns:a16="http://schemas.microsoft.com/office/drawing/2014/main" id="{7E332373-3DA0-4A3F-B7F2-3D432EB0E150}"/>
              </a:ext>
            </a:extLst>
          </xdr:cNvPr>
          <xdr:cNvSpPr/>
        </xdr:nvSpPr>
        <xdr:spPr>
          <a:xfrm>
            <a:off x="3638549" y="1733548"/>
            <a:ext cx="4181475" cy="2171702"/>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29F582B4-0391-4ED2-B6BF-D2D9E066B389}"/>
              </a:ext>
            </a:extLst>
          </xdr:cNvPr>
          <xdr:cNvGraphicFramePr>
            <a:graphicFrameLocks/>
          </xdr:cNvGraphicFramePr>
        </xdr:nvGraphicFramePr>
        <xdr:xfrm>
          <a:off x="3905250" y="1847850"/>
          <a:ext cx="3648075" cy="199072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16</xdr:col>
      <xdr:colOff>523875</xdr:colOff>
      <xdr:row>9</xdr:row>
      <xdr:rowOff>47623</xdr:rowOff>
    </xdr:from>
    <xdr:to>
      <xdr:col>26</xdr:col>
      <xdr:colOff>209550</xdr:colOff>
      <xdr:row>20</xdr:row>
      <xdr:rowOff>104774</xdr:rowOff>
    </xdr:to>
    <xdr:grpSp>
      <xdr:nvGrpSpPr>
        <xdr:cNvPr id="22" name="Group 21">
          <a:extLst>
            <a:ext uri="{FF2B5EF4-FFF2-40B4-BE49-F238E27FC236}">
              <a16:creationId xmlns:a16="http://schemas.microsoft.com/office/drawing/2014/main" id="{9CE6A7D9-8A9A-BDE4-1DE3-C4780F8AD979}"/>
            </a:ext>
          </a:extLst>
        </xdr:cNvPr>
        <xdr:cNvGrpSpPr/>
      </xdr:nvGrpSpPr>
      <xdr:grpSpPr>
        <a:xfrm>
          <a:off x="10277475" y="1762123"/>
          <a:ext cx="5781675" cy="2152651"/>
          <a:chOff x="8115300" y="1724023"/>
          <a:chExt cx="3448049" cy="2152651"/>
        </a:xfrm>
      </xdr:grpSpPr>
      <xdr:sp macro="" textlink="">
        <xdr:nvSpPr>
          <xdr:cNvPr id="11" name="Rectangle: Rounded Corners 10">
            <a:extLst>
              <a:ext uri="{FF2B5EF4-FFF2-40B4-BE49-F238E27FC236}">
                <a16:creationId xmlns:a16="http://schemas.microsoft.com/office/drawing/2014/main" id="{391DB098-B7E9-4029-B5D9-4EB09F2D72AF}"/>
              </a:ext>
            </a:extLst>
          </xdr:cNvPr>
          <xdr:cNvSpPr/>
        </xdr:nvSpPr>
        <xdr:spPr>
          <a:xfrm>
            <a:off x="8115300" y="1724023"/>
            <a:ext cx="3448049" cy="2152651"/>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613174D8-67FE-45A0-9C7D-1E88F8CAB928}"/>
              </a:ext>
            </a:extLst>
          </xdr:cNvPr>
          <xdr:cNvGraphicFramePr>
            <a:graphicFrameLocks/>
          </xdr:cNvGraphicFramePr>
        </xdr:nvGraphicFramePr>
        <xdr:xfrm>
          <a:off x="8220075" y="1752600"/>
          <a:ext cx="3238500" cy="20764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609599</xdr:colOff>
      <xdr:row>9</xdr:row>
      <xdr:rowOff>38099</xdr:rowOff>
    </xdr:from>
    <xdr:to>
      <xdr:col>16</xdr:col>
      <xdr:colOff>133350</xdr:colOff>
      <xdr:row>20</xdr:row>
      <xdr:rowOff>114300</xdr:rowOff>
    </xdr:to>
    <xdr:grpSp>
      <xdr:nvGrpSpPr>
        <xdr:cNvPr id="24" name="Group 23">
          <a:extLst>
            <a:ext uri="{FF2B5EF4-FFF2-40B4-BE49-F238E27FC236}">
              <a16:creationId xmlns:a16="http://schemas.microsoft.com/office/drawing/2014/main" id="{50997565-B19D-F5AC-3674-FE5CB6DEC84E}"/>
            </a:ext>
          </a:extLst>
        </xdr:cNvPr>
        <xdr:cNvGrpSpPr/>
      </xdr:nvGrpSpPr>
      <xdr:grpSpPr>
        <a:xfrm>
          <a:off x="3657599" y="1752599"/>
          <a:ext cx="6229351" cy="2171701"/>
          <a:chOff x="3629024" y="4238624"/>
          <a:chExt cx="5362575" cy="1943102"/>
        </a:xfrm>
      </xdr:grpSpPr>
      <xdr:sp macro="" textlink="">
        <xdr:nvSpPr>
          <xdr:cNvPr id="13" name="Rectangle: Rounded Corners 12">
            <a:extLst>
              <a:ext uri="{FF2B5EF4-FFF2-40B4-BE49-F238E27FC236}">
                <a16:creationId xmlns:a16="http://schemas.microsoft.com/office/drawing/2014/main" id="{15AB89FA-4206-4C62-97D2-DBBD5BC86E77}"/>
              </a:ext>
            </a:extLst>
          </xdr:cNvPr>
          <xdr:cNvSpPr/>
        </xdr:nvSpPr>
        <xdr:spPr>
          <a:xfrm>
            <a:off x="3629024" y="4238624"/>
            <a:ext cx="5362575" cy="1943102"/>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2">
            <a:extLst>
              <a:ext uri="{FF2B5EF4-FFF2-40B4-BE49-F238E27FC236}">
                <a16:creationId xmlns:a16="http://schemas.microsoft.com/office/drawing/2014/main" id="{DA7E1C05-7C58-4D49-90FA-3325D90C7821}"/>
              </a:ext>
            </a:extLst>
          </xdr:cNvPr>
          <xdr:cNvGraphicFramePr>
            <a:graphicFrameLocks/>
          </xdr:cNvGraphicFramePr>
        </xdr:nvGraphicFramePr>
        <xdr:xfrm>
          <a:off x="3752849" y="4257675"/>
          <a:ext cx="5181601" cy="18859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26</xdr:col>
      <xdr:colOff>600075</xdr:colOff>
      <xdr:row>21</xdr:row>
      <xdr:rowOff>171450</xdr:rowOff>
    </xdr:from>
    <xdr:to>
      <xdr:col>31</xdr:col>
      <xdr:colOff>514350</xdr:colOff>
      <xdr:row>35</xdr:row>
      <xdr:rowOff>95250</xdr:rowOff>
    </xdr:to>
    <xdr:grpSp>
      <xdr:nvGrpSpPr>
        <xdr:cNvPr id="25" name="Group 24">
          <a:extLst>
            <a:ext uri="{FF2B5EF4-FFF2-40B4-BE49-F238E27FC236}">
              <a16:creationId xmlns:a16="http://schemas.microsoft.com/office/drawing/2014/main" id="{A3B71BA2-F1EC-A2C5-CF37-4DDBA27CB966}"/>
            </a:ext>
          </a:extLst>
        </xdr:cNvPr>
        <xdr:cNvGrpSpPr/>
      </xdr:nvGrpSpPr>
      <xdr:grpSpPr>
        <a:xfrm>
          <a:off x="16449675" y="4171950"/>
          <a:ext cx="2962275" cy="2590800"/>
          <a:chOff x="9248775" y="4219575"/>
          <a:chExt cx="2419350" cy="2000250"/>
        </a:xfrm>
      </xdr:grpSpPr>
      <xdr:sp macro="" textlink="">
        <xdr:nvSpPr>
          <xdr:cNvPr id="14" name="Rectangle: Rounded Corners 13">
            <a:extLst>
              <a:ext uri="{FF2B5EF4-FFF2-40B4-BE49-F238E27FC236}">
                <a16:creationId xmlns:a16="http://schemas.microsoft.com/office/drawing/2014/main" id="{06A1B120-9385-4DA3-8FDF-D1E67894FBC0}"/>
              </a:ext>
            </a:extLst>
          </xdr:cNvPr>
          <xdr:cNvSpPr/>
        </xdr:nvSpPr>
        <xdr:spPr>
          <a:xfrm>
            <a:off x="9248775" y="4219575"/>
            <a:ext cx="2419350" cy="200025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
            <a:extLst>
              <a:ext uri="{FF2B5EF4-FFF2-40B4-BE49-F238E27FC236}">
                <a16:creationId xmlns:a16="http://schemas.microsoft.com/office/drawing/2014/main" id="{B903CBE6-55D4-4AFC-ABC4-55F69F659156}"/>
              </a:ext>
            </a:extLst>
          </xdr:cNvPr>
          <xdr:cNvGraphicFramePr>
            <a:graphicFrameLocks/>
          </xdr:cNvGraphicFramePr>
        </xdr:nvGraphicFramePr>
        <xdr:xfrm>
          <a:off x="9305925" y="4286250"/>
          <a:ext cx="2295525" cy="18859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16</xdr:col>
      <xdr:colOff>514350</xdr:colOff>
      <xdr:row>22</xdr:row>
      <xdr:rowOff>9525</xdr:rowOff>
    </xdr:from>
    <xdr:to>
      <xdr:col>26</xdr:col>
      <xdr:colOff>209550</xdr:colOff>
      <xdr:row>35</xdr:row>
      <xdr:rowOff>104775</xdr:rowOff>
    </xdr:to>
    <xdr:grpSp>
      <xdr:nvGrpSpPr>
        <xdr:cNvPr id="28" name="Group 27">
          <a:extLst>
            <a:ext uri="{FF2B5EF4-FFF2-40B4-BE49-F238E27FC236}">
              <a16:creationId xmlns:a16="http://schemas.microsoft.com/office/drawing/2014/main" id="{79456E24-06F8-B8C0-73DD-1F3BBBC8F6D7}"/>
            </a:ext>
          </a:extLst>
        </xdr:cNvPr>
        <xdr:cNvGrpSpPr/>
      </xdr:nvGrpSpPr>
      <xdr:grpSpPr>
        <a:xfrm>
          <a:off x="10267950" y="4200525"/>
          <a:ext cx="5791200" cy="2571750"/>
          <a:chOff x="11896725" y="4210050"/>
          <a:chExt cx="4572000" cy="2000250"/>
        </a:xfrm>
      </xdr:grpSpPr>
      <xdr:sp macro="" textlink="">
        <xdr:nvSpPr>
          <xdr:cNvPr id="12" name="Rectangle: Rounded Corners 11">
            <a:extLst>
              <a:ext uri="{FF2B5EF4-FFF2-40B4-BE49-F238E27FC236}">
                <a16:creationId xmlns:a16="http://schemas.microsoft.com/office/drawing/2014/main" id="{5B6EA21A-FE9F-42DC-BDF7-8792D86BFEA8}"/>
              </a:ext>
            </a:extLst>
          </xdr:cNvPr>
          <xdr:cNvSpPr/>
        </xdr:nvSpPr>
        <xdr:spPr>
          <a:xfrm>
            <a:off x="11896725" y="4210050"/>
            <a:ext cx="4572000" cy="200025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
            <a:extLst>
              <a:ext uri="{FF2B5EF4-FFF2-40B4-BE49-F238E27FC236}">
                <a16:creationId xmlns:a16="http://schemas.microsoft.com/office/drawing/2014/main" id="{21D27EEF-E5B8-4AC8-B4B7-2E6CB6A11270}"/>
              </a:ext>
            </a:extLst>
          </xdr:cNvPr>
          <xdr:cNvGraphicFramePr>
            <a:graphicFrameLocks/>
          </xdr:cNvGraphicFramePr>
        </xdr:nvGraphicFramePr>
        <xdr:xfrm>
          <a:off x="11991974" y="4257674"/>
          <a:ext cx="4429125" cy="18954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9524</xdr:colOff>
      <xdr:row>3</xdr:row>
      <xdr:rowOff>180975</xdr:rowOff>
    </xdr:from>
    <xdr:to>
      <xdr:col>10</xdr:col>
      <xdr:colOff>19049</xdr:colOff>
      <xdr:row>7</xdr:row>
      <xdr:rowOff>142875</xdr:rowOff>
    </xdr:to>
    <xdr:sp macro="" textlink="">
      <xdr:nvSpPr>
        <xdr:cNvPr id="31" name="Rectangle: Rounded Corners 30">
          <a:extLst>
            <a:ext uri="{FF2B5EF4-FFF2-40B4-BE49-F238E27FC236}">
              <a16:creationId xmlns:a16="http://schemas.microsoft.com/office/drawing/2014/main" id="{62C367FA-233D-44A6-B7E5-47D186C70E8F}"/>
            </a:ext>
          </a:extLst>
        </xdr:cNvPr>
        <xdr:cNvSpPr/>
      </xdr:nvSpPr>
      <xdr:spPr>
        <a:xfrm>
          <a:off x="3667124" y="752475"/>
          <a:ext cx="2447925" cy="723900"/>
        </a:xfrm>
        <a:prstGeom prst="roundRect">
          <a:avLst>
            <a:gd name="adj" fmla="val 10088"/>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chemeClr val="tx1"/>
              </a:solidFill>
            </a:rPr>
            <a:t>BANGLADESH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hid Hasan" refreshedDate="45959.784056712961" createdVersion="8" refreshedVersion="8" minRefreshableVersion="3" recordCount="64" xr:uid="{867E5B94-9249-4257-9741-918BE141E3D7}">
  <cacheSource type="worksheet">
    <worksheetSource name="city_population"/>
  </cacheSource>
  <cacheFields count="13">
    <cacheField name="Name" numFmtId="0">
      <sharedItems count="64">
        <s v="Barguna"/>
        <s v="Barishal"/>
        <s v="Bhola"/>
        <s v="Jhalokati"/>
        <s v="Patuakhali"/>
        <s v="Pirojpur"/>
        <s v="Bandarban"/>
        <s v="Brahmanbaria"/>
        <s v="Chandpur"/>
        <s v="Chattogram"/>
        <s v="Cox's Bazar"/>
        <s v="Cumilla"/>
        <s v="Feni"/>
        <s v="Khagrachhari"/>
        <s v="Lakshmipur"/>
        <s v="Noakhali"/>
        <s v="Rangamati"/>
        <s v="Dhaka"/>
        <s v="Faridpur"/>
        <s v="Gazipur"/>
        <s v="Gopalganj"/>
        <s v="Kishoreganj"/>
        <s v="Madaripur"/>
        <s v="Manikganj"/>
        <s v="Munshiganj"/>
        <s v="Narayanganj"/>
        <s v="Narsingdi"/>
        <s v="Rajbari"/>
        <s v="Shariatpur"/>
        <s v="Tangail"/>
        <s v="Jamalpur"/>
        <s v="Mymensingh"/>
        <s v="Netrakona"/>
        <s v="Sherpur"/>
        <s v="Bagerhat"/>
        <s v="Chuadanga"/>
        <s v="Jessore"/>
        <s v="Jhenaidah"/>
        <s v="Khulna"/>
        <s v="Kushtia"/>
        <s v="Magura"/>
        <s v="Meherpur"/>
        <s v="Narail"/>
        <s v="Satkhira"/>
        <s v="Bogra"/>
        <s v="Chapai Nawabganj"/>
        <s v="Jaipurhat"/>
        <s v="Naogaon"/>
        <s v="Natore"/>
        <s v="Pabna"/>
        <s v="Rajshahi"/>
        <s v="Sirajganj"/>
        <s v="Dinajpur"/>
        <s v="Gaibandha"/>
        <s v="Kurigram"/>
        <s v="Lalmonirhat"/>
        <s v="Nilphamari"/>
        <s v="Panchagarh"/>
        <s v="Rangpur"/>
        <s v="Thakurgaon"/>
        <s v="Habiganj"/>
        <s v="Moulvibazar"/>
        <s v="Sunamganj"/>
        <s v="Sylhet"/>
      </sharedItems>
    </cacheField>
    <cacheField name="Abbr." numFmtId="0">
      <sharedItems count="64">
        <s v="BRG"/>
        <s v="BRS"/>
        <s v="BHO"/>
        <s v="JHA"/>
        <s v="PAT"/>
        <s v="PIR"/>
        <s v="BAN"/>
        <s v="BBA"/>
        <s v="CHA"/>
        <s v="CHI"/>
        <s v="COX"/>
        <s v="CUM"/>
        <s v="FEN"/>
        <s v="KHA"/>
        <s v="LAK"/>
        <s v="NOA"/>
        <s v="RGM"/>
        <s v="DHA"/>
        <s v="FAR"/>
        <s v="GAZ"/>
        <s v="GOP"/>
        <s v="KIS"/>
        <s v="MAD"/>
        <s v="MAN"/>
        <s v="MUN"/>
        <s v="NYG"/>
        <s v="NSD"/>
        <s v="RJB"/>
        <s v="SHA"/>
        <s v="TAN"/>
        <s v="JAM"/>
        <s v="MYM"/>
        <s v="NET"/>
        <s v="SHE"/>
        <s v="BAG"/>
        <s v="CHU"/>
        <s v="JES"/>
        <s v="JHE"/>
        <s v="KHU"/>
        <s v="KUS"/>
        <s v="MAG"/>
        <s v="MEH"/>
        <s v="NRA"/>
        <s v="SAT"/>
        <s v="BOG"/>
        <s v="NAW"/>
        <s v="JAI"/>
        <s v="NAO"/>
        <s v="NAT"/>
        <s v="PAB"/>
        <s v="RJS"/>
        <s v="SIR"/>
        <s v="DIN"/>
        <s v="GAI"/>
        <s v="KUR"/>
        <s v="LAL"/>
        <s v="NIL"/>
        <s v="PAN"/>
        <s v="RGP"/>
        <s v="THA"/>
        <s v="HAB"/>
        <s v="MAU"/>
        <s v="SUN"/>
        <s v="SYL"/>
      </sharedItems>
    </cacheField>
    <cacheField name="Division" numFmtId="0">
      <sharedItems count="8">
        <s v="Barisal"/>
        <s v="Chattogram"/>
        <s v="Dhaka"/>
        <s v="Mymensingh"/>
        <s v="Khulna"/>
        <s v="Rajshahi"/>
        <s v="Rangpur"/>
        <s v="Sylhet"/>
      </sharedItems>
    </cacheField>
    <cacheField name="Established" numFmtId="0">
      <sharedItems containsSemiMixedTypes="0" containsString="0" containsNumber="1" containsInteger="1" minValue="1666" maxValue="1984"/>
    </cacheField>
    <cacheField name="Native" numFmtId="0">
      <sharedItems/>
    </cacheField>
    <cacheField name="Area_km2" numFmtId="0">
      <sharedItems containsSemiMixedTypes="0" containsString="0" containsNumber="1" containsInteger="1" minValue="684" maxValue="6116"/>
    </cacheField>
    <cacheField name="Population_1991" numFmtId="0">
      <sharedItems containsSemiMixedTypes="0" containsString="0" containsNumber="1" containsInteger="1" minValue="246000" maxValue="6164000"/>
    </cacheField>
    <cacheField name="Population_2001" numFmtId="0">
      <sharedItems containsSemiMixedTypes="0" containsString="0" containsNumber="1" containsInteger="1" minValue="311741" maxValue="9151343"/>
    </cacheField>
    <cacheField name="Population_2011" numFmtId="0">
      <sharedItems containsSemiMixedTypes="0" containsString="0" containsNumber="1" containsInteger="1" minValue="404091" maxValue="12517360"/>
    </cacheField>
    <cacheField name="Population_2022" numFmtId="0">
      <sharedItems containsSemiMixedTypes="0" containsString="0" containsNumber="1" containsInteger="1" minValue="495252" maxValue="15210851"/>
    </cacheField>
    <cacheField name="Population_Density_2022" numFmtId="0">
      <sharedItems containsSemiMixedTypes="0" containsString="0" containsNumber="1" minValue="108.99722040549379" maxValue="10389.925546448087"/>
    </cacheField>
    <cacheField name="Population_Growth_Abs" numFmtId="0">
      <sharedItems containsSemiMixedTypes="0" containsString="0" containsNumber="1" containsInteger="1" minValue="-16441" maxValue="9046851"/>
    </cacheField>
    <cacheField name="Population_Growth_Pct" numFmtId="0">
      <sharedItems containsSemiMixedTypes="0" containsString="0" containsNumber="1" minValue="-2.3690201729106627E-2" maxValue="2.2284836601307187"/>
    </cacheField>
  </cacheFields>
  <extLst>
    <ext xmlns:x14="http://schemas.microsoft.com/office/spreadsheetml/2009/9/main" uri="{725AE2AE-9491-48be-B2B4-4EB974FC3084}">
      <x14:pivotCacheDefinition pivotCacheId="3194830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hid Hasan" refreshedDate="45959.817093981481" createdVersion="8" refreshedVersion="8" minRefreshableVersion="3" recordCount="256" xr:uid="{86F32B78-0744-4F4B-A20E-CDDC28C045B5}">
  <cacheSource type="worksheet">
    <worksheetSource name="city_population__2"/>
  </cacheSource>
  <cacheFields count="11">
    <cacheField name="Name" numFmtId="0">
      <sharedItems/>
    </cacheField>
    <cacheField name="Abbr." numFmtId="0">
      <sharedItems/>
    </cacheField>
    <cacheField name="Division" numFmtId="0">
      <sharedItems count="8">
        <s v="Barisal"/>
        <s v="Chattogram"/>
        <s v="Dhaka"/>
        <s v="Mymensingh"/>
        <s v="Khulna"/>
        <s v="Rajshahi"/>
        <s v="Rangpur"/>
        <s v="Sylhet"/>
      </sharedItems>
    </cacheField>
    <cacheField name="Established" numFmtId="0">
      <sharedItems containsSemiMixedTypes="0" containsString="0" containsNumber="1" containsInteger="1" minValue="1666" maxValue="1984"/>
    </cacheField>
    <cacheField name="Native" numFmtId="0">
      <sharedItems/>
    </cacheField>
    <cacheField name="Area_km2" numFmtId="0">
      <sharedItems containsSemiMixedTypes="0" containsString="0" containsNumber="1" containsInteger="1" minValue="684" maxValue="6116"/>
    </cacheField>
    <cacheField name="Population_Density_2022" numFmtId="0">
      <sharedItems containsSemiMixedTypes="0" containsString="0" containsNumber="1" minValue="108.99722040549379" maxValue="10389.925546448087"/>
    </cacheField>
    <cacheField name="Population_Growth_Abs" numFmtId="0">
      <sharedItems containsSemiMixedTypes="0" containsString="0" containsNumber="1" containsInteger="1" minValue="-16441" maxValue="9046851"/>
    </cacheField>
    <cacheField name="Population_Growth_Pct" numFmtId="0">
      <sharedItems containsSemiMixedTypes="0" containsString="0" containsNumber="1" minValue="-2.3690201729106627E-2" maxValue="2.2284836601307187"/>
    </cacheField>
    <cacheField name="Year" numFmtId="0">
      <sharedItems count="4">
        <s v="1991"/>
        <s v="2001"/>
        <s v="2011"/>
        <s v="2022"/>
      </sharedItems>
    </cacheField>
    <cacheField name="Population" numFmtId="0">
      <sharedItems containsSemiMixedTypes="0" containsString="0" containsNumber="1" containsInteger="1" minValue="246000" maxValue="152108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x v="0"/>
    <n v="1984"/>
    <s v="বরগুনা জেলা"/>
    <n v="1831"/>
    <n v="805000"/>
    <n v="887376"/>
    <n v="927889"/>
    <n v="1035596"/>
    <n v="565.590387766248"/>
    <n v="230596"/>
    <n v="0.28645465838509315"/>
  </r>
  <r>
    <x v="1"/>
    <x v="1"/>
    <x v="0"/>
    <n v="1797"/>
    <s v="বরিশাল জেলা"/>
    <n v="2785"/>
    <n v="2299000"/>
    <n v="2465249"/>
    <n v="2414729"/>
    <n v="2634203"/>
    <n v="945.85385996409332"/>
    <n v="335203"/>
    <n v="0.14580382775119619"/>
  </r>
  <r>
    <x v="2"/>
    <x v="2"/>
    <x v="0"/>
    <n v="1984"/>
    <s v="ভোলা জেলা"/>
    <n v="3403"/>
    <n v="1532000"/>
    <n v="1781043"/>
    <n v="1846351"/>
    <n v="1980452"/>
    <n v="581.97237731413463"/>
    <n v="448452"/>
    <n v="0.29272323759791125"/>
  </r>
  <r>
    <x v="3"/>
    <x v="3"/>
    <x v="0"/>
    <n v="1984"/>
    <s v="ঝালকাঠি জেলা"/>
    <n v="707"/>
    <n v="694000"/>
    <n v="726182"/>
    <n v="709914"/>
    <n v="677559"/>
    <n v="958.35785007072138"/>
    <n v="-16441"/>
    <n v="-2.3690201729106627E-2"/>
  </r>
  <r>
    <x v="4"/>
    <x v="4"/>
    <x v="0"/>
    <n v="1969"/>
    <s v="পটুয়াখালী জেলা"/>
    <n v="3221"/>
    <n v="1323000"/>
    <n v="1527628"/>
    <n v="1596223"/>
    <n v="1770096"/>
    <n v="549.54858739521887"/>
    <n v="447096"/>
    <n v="0.33794104308390022"/>
  </r>
  <r>
    <x v="5"/>
    <x v="5"/>
    <x v="0"/>
    <n v="1984"/>
    <s v="পিরোজপুর জেলা"/>
    <n v="1278"/>
    <n v="1104000"/>
    <n v="1161548"/>
    <n v="1157215"/>
    <n v="1227915"/>
    <n v="960.80985915492954"/>
    <n v="123915"/>
    <n v="0.11224184782608695"/>
  </r>
  <r>
    <x v="6"/>
    <x v="6"/>
    <x v="1"/>
    <n v="1981"/>
    <s v="বান্দরবান জেলা"/>
    <n v="4496"/>
    <n v="246000"/>
    <n v="311741"/>
    <n v="404091"/>
    <n v="495252"/>
    <n v="110.15391459074733"/>
    <n v="249252"/>
    <n v="1.013219512195122"/>
  </r>
  <r>
    <x v="7"/>
    <x v="7"/>
    <x v="1"/>
    <n v="1984"/>
    <s v="ব্রাহ্মণবাড়ীয়া জেলা"/>
    <n v="1881"/>
    <n v="2268000"/>
    <n v="2509383"/>
    <n v="2953208"/>
    <n v="3403786"/>
    <n v="1809.5619351408825"/>
    <n v="1135786"/>
    <n v="0.50078747795414458"/>
  </r>
  <r>
    <x v="8"/>
    <x v="8"/>
    <x v="1"/>
    <n v="1984"/>
    <s v="চাঁদপুর জেলা"/>
    <n v="1645"/>
    <n v="2150000"/>
    <n v="2377088"/>
    <n v="2513838"/>
    <n v="2713247"/>
    <n v="1649.390273556231"/>
    <n v="563247"/>
    <n v="0.2619753488372093"/>
  </r>
  <r>
    <x v="9"/>
    <x v="9"/>
    <x v="1"/>
    <n v="1666"/>
    <s v="চট্টগ্রাম জেলা"/>
    <n v="5282"/>
    <n v="5744000"/>
    <n v="7009504"/>
    <n v="7913366"/>
    <n v="9439076"/>
    <n v="1787.026883756153"/>
    <n v="3695076"/>
    <n v="0.64329317548746523"/>
  </r>
  <r>
    <x v="10"/>
    <x v="10"/>
    <x v="1"/>
    <n v="1984"/>
    <s v="কক্সবাজার জেলা"/>
    <n v="2492"/>
    <n v="1502000"/>
    <n v="1856151"/>
    <n v="2381814"/>
    <n v="2906281"/>
    <n v="1166.2443820224719"/>
    <n v="1404281"/>
    <n v="0.93494074567243679"/>
  </r>
  <r>
    <x v="11"/>
    <x v="11"/>
    <x v="1"/>
    <n v="1790"/>
    <s v="কুমিল্লা জেলা"/>
    <n v="3146"/>
    <n v="4264000"/>
    <n v="4807649"/>
    <n v="5602624"/>
    <n v="6394875"/>
    <n v="2032.7002542911634"/>
    <n v="2130875"/>
    <n v="0.49973616322701686"/>
  </r>
  <r>
    <x v="12"/>
    <x v="12"/>
    <x v="1"/>
    <n v="1984"/>
    <s v="ফেনী জেলা"/>
    <n v="990"/>
    <n v="1158000"/>
    <n v="1297987"/>
    <n v="1496139"/>
    <n v="1697379"/>
    <n v="1714.5242424242424"/>
    <n v="539379"/>
    <n v="0.46578497409326425"/>
  </r>
  <r>
    <x v="13"/>
    <x v="13"/>
    <x v="1"/>
    <n v="1983"/>
    <s v="খাগড়াছড়ি জেলা"/>
    <n v="2749"/>
    <n v="366000"/>
    <n v="549134"/>
    <n v="638967"/>
    <n v="735116"/>
    <n v="267.41214987268097"/>
    <n v="369116"/>
    <n v="1.0085136612021859"/>
  </r>
  <r>
    <x v="14"/>
    <x v="14"/>
    <x v="1"/>
    <n v="1984"/>
    <s v="লক্ষ্মীপুর জেলা"/>
    <n v="1440"/>
    <n v="1391000"/>
    <n v="1558618"/>
    <n v="1797761"/>
    <n v="1994930"/>
    <n v="1385.3680555555557"/>
    <n v="603930"/>
    <n v="0.43416966211358737"/>
  </r>
  <r>
    <x v="15"/>
    <x v="15"/>
    <x v="1"/>
    <n v="1821"/>
    <s v="নোয়াখালী জেলা"/>
    <n v="3686"/>
    <n v="2346000"/>
    <n v="2696453"/>
    <n v="3231832"/>
    <n v="3732042"/>
    <n v="1012.491047205643"/>
    <n v="1386042"/>
    <n v="0.59081074168797953"/>
  </r>
  <r>
    <x v="16"/>
    <x v="16"/>
    <x v="1"/>
    <n v="1983"/>
    <s v="রাঙ্গামাটি জেলা"/>
    <n v="6116"/>
    <n v="430000"/>
    <n v="531489"/>
    <n v="620215"/>
    <n v="666627"/>
    <n v="108.99722040549379"/>
    <n v="236627"/>
    <n v="0.55029534883720932"/>
  </r>
  <r>
    <x v="17"/>
    <x v="17"/>
    <x v="2"/>
    <n v="1772"/>
    <s v="ঢাকা জেলা"/>
    <n v="1464"/>
    <n v="6164000"/>
    <n v="9151343"/>
    <n v="12517360"/>
    <n v="15210851"/>
    <n v="10389.925546448087"/>
    <n v="9046851"/>
    <n v="1.467691596365996"/>
  </r>
  <r>
    <x v="18"/>
    <x v="18"/>
    <x v="2"/>
    <n v="1815"/>
    <s v="ফরিদপুর জেলা"/>
    <n v="2053"/>
    <n v="1559000"/>
    <n v="1837631"/>
    <n v="1988695"/>
    <n v="2232772"/>
    <n v="1087.5655138821237"/>
    <n v="673772"/>
    <n v="0.43218216805644644"/>
  </r>
  <r>
    <x v="19"/>
    <x v="19"/>
    <x v="2"/>
    <n v="1984"/>
    <s v="গাজীপুর জেলা"/>
    <n v="1806"/>
    <n v="1683000"/>
    <n v="2142179"/>
    <n v="3548115"/>
    <n v="5433538"/>
    <n v="3008.6035437430787"/>
    <n v="3750538"/>
    <n v="2.2284836601307187"/>
  </r>
  <r>
    <x v="20"/>
    <x v="20"/>
    <x v="2"/>
    <n v="1984"/>
    <s v="গোপালগঞ্জ জেলা"/>
    <n v="1469"/>
    <n v="1097000"/>
    <n v="1218789"/>
    <n v="1218319"/>
    <n v="1336907"/>
    <n v="910.07964601769913"/>
    <n v="239907"/>
    <n v="0.21869371011850502"/>
  </r>
  <r>
    <x v="21"/>
    <x v="21"/>
    <x v="2"/>
    <n v="1984"/>
    <s v="কিশোরগঞ্জ জেলা"/>
    <n v="2689"/>
    <n v="2388000"/>
    <n v="2714721"/>
    <n v="3028706"/>
    <n v="3373219"/>
    <n v="1254.451097062105"/>
    <n v="985219"/>
    <n v="0.412570770519263"/>
  </r>
  <r>
    <x v="22"/>
    <x v="22"/>
    <x v="2"/>
    <n v="1984"/>
    <s v="মাদারীপুর জেলা"/>
    <n v="1126"/>
    <n v="1106000"/>
    <n v="1199374"/>
    <n v="1212199"/>
    <n v="1334811"/>
    <n v="1185.4449378330373"/>
    <n v="228811"/>
    <n v="0.20688155515370704"/>
  </r>
  <r>
    <x v="23"/>
    <x v="23"/>
    <x v="2"/>
    <n v="1984"/>
    <s v="মানিকগঞ্জ জেলা"/>
    <n v="1384"/>
    <n v="1216000"/>
    <n v="1343468"/>
    <n v="1447301"/>
    <n v="1608372"/>
    <n v="1162.1184971098266"/>
    <n v="392372"/>
    <n v="0.32267434210526313"/>
  </r>
  <r>
    <x v="24"/>
    <x v="24"/>
    <x v="2"/>
    <n v="1984"/>
    <s v="মুন্সিগঞ্জ জেলা"/>
    <n v="1004"/>
    <n v="1229000"/>
    <n v="1353615"/>
    <n v="1502449"/>
    <n v="1677941"/>
    <n v="1671.2559760956176"/>
    <n v="448941"/>
    <n v="0.36528966639544347"/>
  </r>
  <r>
    <x v="25"/>
    <x v="25"/>
    <x v="2"/>
    <n v="1984"/>
    <s v="নারায়ণগঞ্জ জেলা"/>
    <n v="684"/>
    <n v="1819000"/>
    <n v="2289797"/>
    <n v="3074078"/>
    <n v="4035461"/>
    <n v="5899.7967836257312"/>
    <n v="2216461"/>
    <n v="1.2185052226498077"/>
  </r>
  <r>
    <x v="26"/>
    <x v="26"/>
    <x v="2"/>
    <n v="1984"/>
    <s v="নরসিংদী জেলা"/>
    <n v="1150"/>
    <n v="1710000"/>
    <n v="1983571"/>
    <n v="2314889"/>
    <n v="2667968"/>
    <n v="2319.9721739130437"/>
    <n v="957968"/>
    <n v="0.56021520467836261"/>
  </r>
  <r>
    <x v="27"/>
    <x v="27"/>
    <x v="2"/>
    <n v="1984"/>
    <s v="রাজবাড়ী জেলা"/>
    <n v="1092"/>
    <n v="866000"/>
    <n v="996147"/>
    <n v="1091263"/>
    <n v="1228267"/>
    <n v="1124.78663003663"/>
    <n v="362267"/>
    <n v="0.41832217090069285"/>
  </r>
  <r>
    <x v="28"/>
    <x v="28"/>
    <x v="2"/>
    <n v="1984"/>
    <s v="শরিয়তপুর জেলা"/>
    <n v="1174"/>
    <n v="986000"/>
    <n v="1132535"/>
    <n v="1201464"/>
    <n v="1336396"/>
    <n v="1138.3270868824532"/>
    <n v="350396"/>
    <n v="0.35537119675456391"/>
  </r>
  <r>
    <x v="29"/>
    <x v="29"/>
    <x v="2"/>
    <n v="1969"/>
    <s v="টাঙ্গাইল জেলা"/>
    <n v="3414"/>
    <n v="3108000"/>
    <n v="3443497"/>
    <n v="3749086"/>
    <n v="4168083"/>
    <n v="1220.8796133567662"/>
    <n v="1060083"/>
    <n v="0.34108204633204631"/>
  </r>
  <r>
    <x v="30"/>
    <x v="30"/>
    <x v="3"/>
    <n v="1978"/>
    <s v="জামালপুর জেলা"/>
    <n v="2115"/>
    <n v="1943000"/>
    <n v="2205766"/>
    <n v="2384811"/>
    <n v="2583984"/>
    <n v="1221.7418439716312"/>
    <n v="640984"/>
    <n v="0.32989397838394235"/>
  </r>
  <r>
    <x v="31"/>
    <x v="31"/>
    <x v="3"/>
    <n v="1787"/>
    <s v="ময়মনসিংহ জেলা"/>
    <n v="4395"/>
    <n v="4097000"/>
    <n v="4696966"/>
    <n v="5313163"/>
    <n v="6097814"/>
    <n v="1387.4434584755404"/>
    <n v="2000814"/>
    <n v="0.48836075176958749"/>
  </r>
  <r>
    <x v="32"/>
    <x v="32"/>
    <x v="3"/>
    <n v="1984"/>
    <s v="নেত্রকোনা জেলা"/>
    <n v="2794"/>
    <n v="1791000"/>
    <n v="2079716"/>
    <n v="2317190"/>
    <n v="2403205"/>
    <n v="860.13063707945594"/>
    <n v="612205"/>
    <n v="0.34182300390843107"/>
  </r>
  <r>
    <x v="33"/>
    <x v="33"/>
    <x v="3"/>
    <n v="1984"/>
    <s v="শেরপুর জেলা"/>
    <n v="1365"/>
    <n v="1179000"/>
    <n v="1338834"/>
    <n v="1412601"/>
    <n v="1552469"/>
    <n v="1137.3399267399268"/>
    <n v="373469"/>
    <n v="0.31676759966072943"/>
  </r>
  <r>
    <x v="34"/>
    <x v="34"/>
    <x v="4"/>
    <n v="1984"/>
    <s v="বাগেরহাট জেলা"/>
    <n v="3959"/>
    <n v="1489000"/>
    <n v="1620216"/>
    <n v="1534012"/>
    <n v="1649874"/>
    <n v="416.74008588027277"/>
    <n v="160874"/>
    <n v="0.10804163868368032"/>
  </r>
  <r>
    <x v="35"/>
    <x v="35"/>
    <x v="4"/>
    <n v="1984"/>
    <s v="চুয়াডাঙ্গা জেলা"/>
    <n v="1174"/>
    <n v="843000"/>
    <n v="1053936"/>
    <n v="1174836"/>
    <n v="1262205"/>
    <n v="1075.1320272572402"/>
    <n v="419205"/>
    <n v="0.4972775800711744"/>
  </r>
  <r>
    <x v="36"/>
    <x v="36"/>
    <x v="4"/>
    <n v="1781"/>
    <s v="যশোর জেলা"/>
    <n v="2607"/>
    <n v="2193000"/>
    <n v="2586771"/>
    <n v="2876380"/>
    <n v="3146317"/>
    <n v="1206.8726505561949"/>
    <n v="953317"/>
    <n v="0.43470907432740535"/>
  </r>
  <r>
    <x v="37"/>
    <x v="37"/>
    <x v="4"/>
    <n v="1984"/>
    <s v="ঝিনাইদহ জেলা"/>
    <n v="1965"/>
    <n v="1420000"/>
    <n v="1653843"/>
    <n v="1842573"/>
    <n v="2051607"/>
    <n v="1044.0748091603054"/>
    <n v="631607"/>
    <n v="0.44479366197183101"/>
  </r>
  <r>
    <x v="38"/>
    <x v="38"/>
    <x v="4"/>
    <n v="1882"/>
    <s v="খুলনা জেলা"/>
    <n v="4394"/>
    <n v="2131000"/>
    <n v="2520962"/>
    <n v="2407679"/>
    <n v="2673002"/>
    <n v="608.32999544833865"/>
    <n v="542002"/>
    <n v="0.25434162365086815"/>
  </r>
  <r>
    <x v="39"/>
    <x v="39"/>
    <x v="4"/>
    <n v="1947"/>
    <s v="কুষ্টিয়া জেলা"/>
    <n v="1609"/>
    <n v="1562000"/>
    <n v="1820554"/>
    <n v="2023657"/>
    <n v="2198731"/>
    <n v="1366.5201988812928"/>
    <n v="636731"/>
    <n v="0.40763828425096033"/>
  </r>
  <r>
    <x v="40"/>
    <x v="40"/>
    <x v="4"/>
    <n v="1984"/>
    <s v="মাগুরা জেলা"/>
    <n v="1039"/>
    <n v="752000"/>
    <n v="862777"/>
    <n v="954804"/>
    <n v="1056683"/>
    <n v="1017.0192492781521"/>
    <n v="304683"/>
    <n v="0.40516356382978724"/>
  </r>
  <r>
    <x v="41"/>
    <x v="41"/>
    <x v="4"/>
    <n v="1984"/>
    <s v="মেহেরপুর জেলা"/>
    <n v="752"/>
    <n v="511000"/>
    <n v="618466"/>
    <n v="681331"/>
    <n v="721447"/>
    <n v="959.37101063829789"/>
    <n v="210447"/>
    <n v="0.41183365949119372"/>
  </r>
  <r>
    <x v="42"/>
    <x v="42"/>
    <x v="4"/>
    <n v="1984"/>
    <s v="নড়াইল জেলা"/>
    <n v="968"/>
    <n v="682000"/>
    <n v="730568"/>
    <n v="750425"/>
    <n v="806662"/>
    <n v="833.32851239669424"/>
    <n v="124662"/>
    <n v="0.18278885630498534"/>
  </r>
  <r>
    <x v="43"/>
    <x v="43"/>
    <x v="4"/>
    <n v="1984"/>
    <s v="সাতক্ষীরা জেলা"/>
    <n v="3817"/>
    <n v="1660000"/>
    <n v="1950557"/>
    <n v="2063610"/>
    <n v="2246691"/>
    <n v="588.60125753209331"/>
    <n v="586691"/>
    <n v="0.35342831325301205"/>
  </r>
  <r>
    <x v="44"/>
    <x v="44"/>
    <x v="5"/>
    <n v="1821"/>
    <s v="বগুড়া জেলা"/>
    <n v="2899"/>
    <n v="2799000"/>
    <n v="3151389"/>
    <n v="3539293"/>
    <n v="3815192"/>
    <n v="1316.037254225595"/>
    <n v="1016192"/>
    <n v="0.36305537692032869"/>
  </r>
  <r>
    <x v="45"/>
    <x v="45"/>
    <x v="5"/>
    <n v="1984"/>
    <s v="চাঁপাইনবাবগঞ্জ জেলা"/>
    <n v="1703"/>
    <n v="1231000"/>
    <n v="1492192"/>
    <n v="1714249"/>
    <n v="1875290"/>
    <n v="1101.1685261303583"/>
    <n v="644290"/>
    <n v="0.52338748984565397"/>
  </r>
  <r>
    <x v="46"/>
    <x v="46"/>
    <x v="5"/>
    <n v="1983"/>
    <s v="জয়পুরহাট জেলা"/>
    <n v="1012"/>
    <n v="802000"/>
    <n v="885909"/>
    <n v="950440"/>
    <n v="977150"/>
    <n v="965.56324110671937"/>
    <n v="175150"/>
    <n v="0.21839152119700747"/>
  </r>
  <r>
    <x v="47"/>
    <x v="47"/>
    <x v="5"/>
    <n v="1984"/>
    <s v="নওগাঁ জেলা"/>
    <n v="3436"/>
    <n v="2251000"/>
    <n v="2500932"/>
    <n v="2701906"/>
    <n v="2844921"/>
    <n v="827.97467986030267"/>
    <n v="593921"/>
    <n v="0.26384762327854289"/>
  </r>
  <r>
    <x v="48"/>
    <x v="48"/>
    <x v="5"/>
    <n v="1984"/>
    <s v="নাটোর জেলা"/>
    <n v="1900"/>
    <n v="1455000"/>
    <n v="1591944"/>
    <n v="1774832"/>
    <n v="1900213"/>
    <n v="1000.1121052631579"/>
    <n v="445213"/>
    <n v="0.30598831615120275"/>
  </r>
  <r>
    <x v="49"/>
    <x v="49"/>
    <x v="5"/>
    <n v="1832"/>
    <s v="পাবনা জেলা"/>
    <n v="2376"/>
    <n v="2017000"/>
    <n v="2278141"/>
    <n v="2624683"/>
    <n v="2972654"/>
    <n v="1251.1170033670035"/>
    <n v="955654"/>
    <n v="0.47379970252850767"/>
  </r>
  <r>
    <x v="50"/>
    <x v="50"/>
    <x v="5"/>
    <n v="1772"/>
    <s v="রাজশাহী জেলা"/>
    <n v="2425"/>
    <n v="1988000"/>
    <n v="2410086"/>
    <n v="2699688"/>
    <n v="2978156"/>
    <n v="1228.1055670103092"/>
    <n v="990156"/>
    <n v="0.49806639839034206"/>
  </r>
  <r>
    <x v="51"/>
    <x v="51"/>
    <x v="5"/>
    <n v="1984"/>
    <s v="সিরাজগঞ্জ জেলা"/>
    <n v="2402"/>
    <n v="2374000"/>
    <n v="2818739"/>
    <n v="3220812"/>
    <n v="3430443"/>
    <n v="1428.1611157368859"/>
    <n v="1056443"/>
    <n v="0.44500547598989049"/>
  </r>
  <r>
    <x v="52"/>
    <x v="52"/>
    <x v="6"/>
    <n v="1786"/>
    <s v="দিনাজপুর জেলা"/>
    <n v="3444"/>
    <n v="2371000"/>
    <n v="2765797"/>
    <n v="3109626"/>
    <n v="3392251"/>
    <n v="984.97415795586528"/>
    <n v="1021251"/>
    <n v="0.43072585407001263"/>
  </r>
  <r>
    <x v="53"/>
    <x v="53"/>
    <x v="6"/>
    <n v="1984"/>
    <s v="গাইবান্ধা জেলা"/>
    <n v="2115"/>
    <n v="2041000"/>
    <n v="2235559"/>
    <n v="2471680"/>
    <n v="2621756"/>
    <n v="1239.6009456264776"/>
    <n v="580756"/>
    <n v="0.28454483096521316"/>
  </r>
  <r>
    <x v="54"/>
    <x v="54"/>
    <x v="6"/>
    <n v="1984"/>
    <s v="কুড়িগ্রাম জেলা"/>
    <n v="2245"/>
    <n v="1680000"/>
    <n v="1873185"/>
    <n v="2150974"/>
    <n v="2383268"/>
    <n v="1061.5893095768374"/>
    <n v="703268"/>
    <n v="0.41861190476190474"/>
  </r>
  <r>
    <x v="55"/>
    <x v="55"/>
    <x v="6"/>
    <n v="1984"/>
    <s v="লালমনিরহাট জেলা"/>
    <n v="1247"/>
    <n v="999000"/>
    <n v="1160226"/>
    <n v="1305248"/>
    <n v="1461589"/>
    <n v="1172.0842020850041"/>
    <n v="462589"/>
    <n v="0.46305205205205208"/>
  </r>
  <r>
    <x v="56"/>
    <x v="56"/>
    <x v="6"/>
    <n v="1984"/>
    <s v="নীলফামারী জেলা"/>
    <n v="1547"/>
    <n v="1416000"/>
    <n v="1644500"/>
    <n v="1907497"/>
    <n v="2141180"/>
    <n v="1384.0853264382677"/>
    <n v="725180"/>
    <n v="0.51213276836158195"/>
  </r>
  <r>
    <x v="57"/>
    <x v="57"/>
    <x v="6"/>
    <n v="1984"/>
    <s v="পঞ্চগড় জেলা"/>
    <n v="1405"/>
    <n v="746000"/>
    <n v="874428"/>
    <n v="1026139"/>
    <n v="1207252"/>
    <n v="859.25409252669044"/>
    <n v="461252"/>
    <n v="0.61830026809651473"/>
  </r>
  <r>
    <x v="58"/>
    <x v="58"/>
    <x v="6"/>
    <n v="1772"/>
    <s v="রংপুর জেলা"/>
    <n v="2401"/>
    <n v="2271000"/>
    <n v="2660727"/>
    <n v="2996334"/>
    <n v="3243247"/>
    <n v="1350.7900874635568"/>
    <n v="972247"/>
    <n v="0.42811404667547337"/>
  </r>
  <r>
    <x v="59"/>
    <x v="59"/>
    <x v="6"/>
    <n v="1984"/>
    <s v="ঠাকুরগাঁও জেলা"/>
    <n v="1782"/>
    <n v="1059000"/>
    <n v="1270081"/>
    <n v="1444783"/>
    <n v="1569529"/>
    <n v="880.76823793490462"/>
    <n v="510529"/>
    <n v="0.4820859301227573"/>
  </r>
  <r>
    <x v="60"/>
    <x v="60"/>
    <x v="7"/>
    <n v="1984"/>
    <s v="হবিগঞ্জ জেলা"/>
    <n v="2637"/>
    <n v="1612000"/>
    <n v="1838683"/>
    <n v="2171065"/>
    <n v="2440151"/>
    <n v="925.35115661736825"/>
    <n v="828151"/>
    <n v="0.51374131513647647"/>
  </r>
  <r>
    <x v="61"/>
    <x v="61"/>
    <x v="7"/>
    <n v="1984"/>
    <s v="মৌলভীবাজার জেলা"/>
    <n v="2799"/>
    <n v="1454000"/>
    <n v="1686631"/>
    <n v="1994252"/>
    <n v="2196601"/>
    <n v="784.7806359414077"/>
    <n v="742601"/>
    <n v="0.51072971114167809"/>
  </r>
  <r>
    <x v="62"/>
    <x v="62"/>
    <x v="7"/>
    <n v="1984"/>
    <s v="সুনামগঞ্জ জেলা"/>
    <n v="3747"/>
    <n v="1802000"/>
    <n v="2107281"/>
    <n v="2564540"/>
    <n v="2788358"/>
    <n v="744.15745930077401"/>
    <n v="986358"/>
    <n v="0.54736847946725864"/>
  </r>
  <r>
    <x v="63"/>
    <x v="63"/>
    <x v="7"/>
    <n v="1782"/>
    <s v="সিলেট জেলা"/>
    <n v="3452"/>
    <n v="2282000"/>
    <n v="2675346"/>
    <n v="3567139"/>
    <n v="3990003"/>
    <n v="1155.8525492468134"/>
    <n v="1708003"/>
    <n v="0.748467572304995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s v="Barguna"/>
    <s v="BRG"/>
    <x v="0"/>
    <n v="1984"/>
    <s v="বরগুনা জেলা"/>
    <n v="1831"/>
    <n v="565.590387766248"/>
    <n v="230596"/>
    <n v="0.28645465838509315"/>
    <x v="0"/>
    <n v="805000"/>
  </r>
  <r>
    <s v="Barguna"/>
    <s v="BRG"/>
    <x v="0"/>
    <n v="1984"/>
    <s v="বরগুনা জেলা"/>
    <n v="1831"/>
    <n v="565.590387766248"/>
    <n v="230596"/>
    <n v="0.28645465838509315"/>
    <x v="1"/>
    <n v="887376"/>
  </r>
  <r>
    <s v="Barguna"/>
    <s v="BRG"/>
    <x v="0"/>
    <n v="1984"/>
    <s v="বরগুনা জেলা"/>
    <n v="1831"/>
    <n v="565.590387766248"/>
    <n v="230596"/>
    <n v="0.28645465838509315"/>
    <x v="2"/>
    <n v="927889"/>
  </r>
  <r>
    <s v="Barguna"/>
    <s v="BRG"/>
    <x v="0"/>
    <n v="1984"/>
    <s v="বরগুনা জেলা"/>
    <n v="1831"/>
    <n v="565.590387766248"/>
    <n v="230596"/>
    <n v="0.28645465838509315"/>
    <x v="3"/>
    <n v="1035596"/>
  </r>
  <r>
    <s v="Barishal"/>
    <s v="BRS"/>
    <x v="0"/>
    <n v="1797"/>
    <s v="বরিশাল জেলা"/>
    <n v="2785"/>
    <n v="945.85385996409332"/>
    <n v="335203"/>
    <n v="0.14580382775119619"/>
    <x v="0"/>
    <n v="2299000"/>
  </r>
  <r>
    <s v="Barishal"/>
    <s v="BRS"/>
    <x v="0"/>
    <n v="1797"/>
    <s v="বরিশাল জেলা"/>
    <n v="2785"/>
    <n v="945.85385996409332"/>
    <n v="335203"/>
    <n v="0.14580382775119619"/>
    <x v="1"/>
    <n v="2465249"/>
  </r>
  <r>
    <s v="Barishal"/>
    <s v="BRS"/>
    <x v="0"/>
    <n v="1797"/>
    <s v="বরিশাল জেলা"/>
    <n v="2785"/>
    <n v="945.85385996409332"/>
    <n v="335203"/>
    <n v="0.14580382775119619"/>
    <x v="2"/>
    <n v="2414729"/>
  </r>
  <r>
    <s v="Barishal"/>
    <s v="BRS"/>
    <x v="0"/>
    <n v="1797"/>
    <s v="বরিশাল জেলা"/>
    <n v="2785"/>
    <n v="945.85385996409332"/>
    <n v="335203"/>
    <n v="0.14580382775119619"/>
    <x v="3"/>
    <n v="2634203"/>
  </r>
  <r>
    <s v="Bhola"/>
    <s v="BHO"/>
    <x v="0"/>
    <n v="1984"/>
    <s v="ভোলা জেলা"/>
    <n v="3403"/>
    <n v="581.97237731413463"/>
    <n v="448452"/>
    <n v="0.29272323759791125"/>
    <x v="0"/>
    <n v="1532000"/>
  </r>
  <r>
    <s v="Bhola"/>
    <s v="BHO"/>
    <x v="0"/>
    <n v="1984"/>
    <s v="ভোলা জেলা"/>
    <n v="3403"/>
    <n v="581.97237731413463"/>
    <n v="448452"/>
    <n v="0.29272323759791125"/>
    <x v="1"/>
    <n v="1781043"/>
  </r>
  <r>
    <s v="Bhola"/>
    <s v="BHO"/>
    <x v="0"/>
    <n v="1984"/>
    <s v="ভোলা জেলা"/>
    <n v="3403"/>
    <n v="581.97237731413463"/>
    <n v="448452"/>
    <n v="0.29272323759791125"/>
    <x v="2"/>
    <n v="1846351"/>
  </r>
  <r>
    <s v="Bhola"/>
    <s v="BHO"/>
    <x v="0"/>
    <n v="1984"/>
    <s v="ভোলা জেলা"/>
    <n v="3403"/>
    <n v="581.97237731413463"/>
    <n v="448452"/>
    <n v="0.29272323759791125"/>
    <x v="3"/>
    <n v="1980452"/>
  </r>
  <r>
    <s v="Jhalokati"/>
    <s v="JHA"/>
    <x v="0"/>
    <n v="1984"/>
    <s v="ঝালকাঠি জেলা"/>
    <n v="707"/>
    <n v="958.35785007072138"/>
    <n v="-16441"/>
    <n v="-2.3690201729106627E-2"/>
    <x v="0"/>
    <n v="694000"/>
  </r>
  <r>
    <s v="Jhalokati"/>
    <s v="JHA"/>
    <x v="0"/>
    <n v="1984"/>
    <s v="ঝালকাঠি জেলা"/>
    <n v="707"/>
    <n v="958.35785007072138"/>
    <n v="-16441"/>
    <n v="-2.3690201729106627E-2"/>
    <x v="1"/>
    <n v="726182"/>
  </r>
  <r>
    <s v="Jhalokati"/>
    <s v="JHA"/>
    <x v="0"/>
    <n v="1984"/>
    <s v="ঝালকাঠি জেলা"/>
    <n v="707"/>
    <n v="958.35785007072138"/>
    <n v="-16441"/>
    <n v="-2.3690201729106627E-2"/>
    <x v="2"/>
    <n v="709914"/>
  </r>
  <r>
    <s v="Jhalokati"/>
    <s v="JHA"/>
    <x v="0"/>
    <n v="1984"/>
    <s v="ঝালকাঠি জেলা"/>
    <n v="707"/>
    <n v="958.35785007072138"/>
    <n v="-16441"/>
    <n v="-2.3690201729106627E-2"/>
    <x v="3"/>
    <n v="677559"/>
  </r>
  <r>
    <s v="Patuakhali"/>
    <s v="PAT"/>
    <x v="0"/>
    <n v="1969"/>
    <s v="পটুয়াখালী জেলা"/>
    <n v="3221"/>
    <n v="549.54858739521887"/>
    <n v="447096"/>
    <n v="0.33794104308390022"/>
    <x v="0"/>
    <n v="1323000"/>
  </r>
  <r>
    <s v="Patuakhali"/>
    <s v="PAT"/>
    <x v="0"/>
    <n v="1969"/>
    <s v="পটুয়াখালী জেলা"/>
    <n v="3221"/>
    <n v="549.54858739521887"/>
    <n v="447096"/>
    <n v="0.33794104308390022"/>
    <x v="1"/>
    <n v="1527628"/>
  </r>
  <r>
    <s v="Patuakhali"/>
    <s v="PAT"/>
    <x v="0"/>
    <n v="1969"/>
    <s v="পটুয়াখালী জেলা"/>
    <n v="3221"/>
    <n v="549.54858739521887"/>
    <n v="447096"/>
    <n v="0.33794104308390022"/>
    <x v="2"/>
    <n v="1596223"/>
  </r>
  <r>
    <s v="Patuakhali"/>
    <s v="PAT"/>
    <x v="0"/>
    <n v="1969"/>
    <s v="পটুয়াখালী জেলা"/>
    <n v="3221"/>
    <n v="549.54858739521887"/>
    <n v="447096"/>
    <n v="0.33794104308390022"/>
    <x v="3"/>
    <n v="1770096"/>
  </r>
  <r>
    <s v="Pirojpur"/>
    <s v="PIR"/>
    <x v="0"/>
    <n v="1984"/>
    <s v="পিরোজপুর জেলা"/>
    <n v="1278"/>
    <n v="960.80985915492954"/>
    <n v="123915"/>
    <n v="0.11224184782608695"/>
    <x v="0"/>
    <n v="1104000"/>
  </r>
  <r>
    <s v="Pirojpur"/>
    <s v="PIR"/>
    <x v="0"/>
    <n v="1984"/>
    <s v="পিরোজপুর জেলা"/>
    <n v="1278"/>
    <n v="960.80985915492954"/>
    <n v="123915"/>
    <n v="0.11224184782608695"/>
    <x v="1"/>
    <n v="1161548"/>
  </r>
  <r>
    <s v="Pirojpur"/>
    <s v="PIR"/>
    <x v="0"/>
    <n v="1984"/>
    <s v="পিরোজপুর জেলা"/>
    <n v="1278"/>
    <n v="960.80985915492954"/>
    <n v="123915"/>
    <n v="0.11224184782608695"/>
    <x v="2"/>
    <n v="1157215"/>
  </r>
  <r>
    <s v="Pirojpur"/>
    <s v="PIR"/>
    <x v="0"/>
    <n v="1984"/>
    <s v="পিরোজপুর জেলা"/>
    <n v="1278"/>
    <n v="960.80985915492954"/>
    <n v="123915"/>
    <n v="0.11224184782608695"/>
    <x v="3"/>
    <n v="1227915"/>
  </r>
  <r>
    <s v="Bandarban"/>
    <s v="BAN"/>
    <x v="1"/>
    <n v="1981"/>
    <s v="বান্দরবান জেলা"/>
    <n v="4496"/>
    <n v="110.15391459074733"/>
    <n v="249252"/>
    <n v="1.013219512195122"/>
    <x v="0"/>
    <n v="246000"/>
  </r>
  <r>
    <s v="Bandarban"/>
    <s v="BAN"/>
    <x v="1"/>
    <n v="1981"/>
    <s v="বান্দরবান জেলা"/>
    <n v="4496"/>
    <n v="110.15391459074733"/>
    <n v="249252"/>
    <n v="1.013219512195122"/>
    <x v="1"/>
    <n v="311741"/>
  </r>
  <r>
    <s v="Bandarban"/>
    <s v="BAN"/>
    <x v="1"/>
    <n v="1981"/>
    <s v="বান্দরবান জেলা"/>
    <n v="4496"/>
    <n v="110.15391459074733"/>
    <n v="249252"/>
    <n v="1.013219512195122"/>
    <x v="2"/>
    <n v="404091"/>
  </r>
  <r>
    <s v="Bandarban"/>
    <s v="BAN"/>
    <x v="1"/>
    <n v="1981"/>
    <s v="বান্দরবান জেলা"/>
    <n v="4496"/>
    <n v="110.15391459074733"/>
    <n v="249252"/>
    <n v="1.013219512195122"/>
    <x v="3"/>
    <n v="495252"/>
  </r>
  <r>
    <s v="Brahmanbaria"/>
    <s v="BBA"/>
    <x v="1"/>
    <n v="1984"/>
    <s v="ব্রাহ্মণবাড়ীয়া জেলা"/>
    <n v="1881"/>
    <n v="1809.5619351408825"/>
    <n v="1135786"/>
    <n v="0.50078747795414458"/>
    <x v="0"/>
    <n v="2268000"/>
  </r>
  <r>
    <s v="Brahmanbaria"/>
    <s v="BBA"/>
    <x v="1"/>
    <n v="1984"/>
    <s v="ব্রাহ্মণবাড়ীয়া জেলা"/>
    <n v="1881"/>
    <n v="1809.5619351408825"/>
    <n v="1135786"/>
    <n v="0.50078747795414458"/>
    <x v="1"/>
    <n v="2509383"/>
  </r>
  <r>
    <s v="Brahmanbaria"/>
    <s v="BBA"/>
    <x v="1"/>
    <n v="1984"/>
    <s v="ব্রাহ্মণবাড়ীয়া জেলা"/>
    <n v="1881"/>
    <n v="1809.5619351408825"/>
    <n v="1135786"/>
    <n v="0.50078747795414458"/>
    <x v="2"/>
    <n v="2953208"/>
  </r>
  <r>
    <s v="Brahmanbaria"/>
    <s v="BBA"/>
    <x v="1"/>
    <n v="1984"/>
    <s v="ব্রাহ্মণবাড়ীয়া জেলা"/>
    <n v="1881"/>
    <n v="1809.5619351408825"/>
    <n v="1135786"/>
    <n v="0.50078747795414458"/>
    <x v="3"/>
    <n v="3403786"/>
  </r>
  <r>
    <s v="Chandpur"/>
    <s v="CHA"/>
    <x v="1"/>
    <n v="1984"/>
    <s v="চাঁদপুর জেলা"/>
    <n v="1645"/>
    <n v="1649.390273556231"/>
    <n v="563247"/>
    <n v="0.2619753488372093"/>
    <x v="0"/>
    <n v="2150000"/>
  </r>
  <r>
    <s v="Chandpur"/>
    <s v="CHA"/>
    <x v="1"/>
    <n v="1984"/>
    <s v="চাঁদপুর জেলা"/>
    <n v="1645"/>
    <n v="1649.390273556231"/>
    <n v="563247"/>
    <n v="0.2619753488372093"/>
    <x v="1"/>
    <n v="2377088"/>
  </r>
  <r>
    <s v="Chandpur"/>
    <s v="CHA"/>
    <x v="1"/>
    <n v="1984"/>
    <s v="চাঁদপুর জেলা"/>
    <n v="1645"/>
    <n v="1649.390273556231"/>
    <n v="563247"/>
    <n v="0.2619753488372093"/>
    <x v="2"/>
    <n v="2513838"/>
  </r>
  <r>
    <s v="Chandpur"/>
    <s v="CHA"/>
    <x v="1"/>
    <n v="1984"/>
    <s v="চাঁদপুর জেলা"/>
    <n v="1645"/>
    <n v="1649.390273556231"/>
    <n v="563247"/>
    <n v="0.2619753488372093"/>
    <x v="3"/>
    <n v="2713247"/>
  </r>
  <r>
    <s v="Chattogram"/>
    <s v="CHI"/>
    <x v="1"/>
    <n v="1666"/>
    <s v="চট্টগ্রাম জেলা"/>
    <n v="5282"/>
    <n v="1787.026883756153"/>
    <n v="3695076"/>
    <n v="0.64329317548746523"/>
    <x v="0"/>
    <n v="5744000"/>
  </r>
  <r>
    <s v="Chattogram"/>
    <s v="CHI"/>
    <x v="1"/>
    <n v="1666"/>
    <s v="চট্টগ্রাম জেলা"/>
    <n v="5282"/>
    <n v="1787.026883756153"/>
    <n v="3695076"/>
    <n v="0.64329317548746523"/>
    <x v="1"/>
    <n v="7009504"/>
  </r>
  <r>
    <s v="Chattogram"/>
    <s v="CHI"/>
    <x v="1"/>
    <n v="1666"/>
    <s v="চট্টগ্রাম জেলা"/>
    <n v="5282"/>
    <n v="1787.026883756153"/>
    <n v="3695076"/>
    <n v="0.64329317548746523"/>
    <x v="2"/>
    <n v="7913366"/>
  </r>
  <r>
    <s v="Chattogram"/>
    <s v="CHI"/>
    <x v="1"/>
    <n v="1666"/>
    <s v="চট্টগ্রাম জেলা"/>
    <n v="5282"/>
    <n v="1787.026883756153"/>
    <n v="3695076"/>
    <n v="0.64329317548746523"/>
    <x v="3"/>
    <n v="9439076"/>
  </r>
  <r>
    <s v="Cox's Bazar"/>
    <s v="COX"/>
    <x v="1"/>
    <n v="1984"/>
    <s v="কক্সবাজার জেলা"/>
    <n v="2492"/>
    <n v="1166.2443820224719"/>
    <n v="1404281"/>
    <n v="0.93494074567243679"/>
    <x v="0"/>
    <n v="1502000"/>
  </r>
  <r>
    <s v="Cox's Bazar"/>
    <s v="COX"/>
    <x v="1"/>
    <n v="1984"/>
    <s v="কক্সবাজার জেলা"/>
    <n v="2492"/>
    <n v="1166.2443820224719"/>
    <n v="1404281"/>
    <n v="0.93494074567243679"/>
    <x v="1"/>
    <n v="1856151"/>
  </r>
  <r>
    <s v="Cox's Bazar"/>
    <s v="COX"/>
    <x v="1"/>
    <n v="1984"/>
    <s v="কক্সবাজার জেলা"/>
    <n v="2492"/>
    <n v="1166.2443820224719"/>
    <n v="1404281"/>
    <n v="0.93494074567243679"/>
    <x v="2"/>
    <n v="2381814"/>
  </r>
  <r>
    <s v="Cox's Bazar"/>
    <s v="COX"/>
    <x v="1"/>
    <n v="1984"/>
    <s v="কক্সবাজার জেলা"/>
    <n v="2492"/>
    <n v="1166.2443820224719"/>
    <n v="1404281"/>
    <n v="0.93494074567243679"/>
    <x v="3"/>
    <n v="2906281"/>
  </r>
  <r>
    <s v="Cumilla"/>
    <s v="CUM"/>
    <x v="1"/>
    <n v="1790"/>
    <s v="কুমিল্লা জেলা"/>
    <n v="3146"/>
    <n v="2032.7002542911634"/>
    <n v="2130875"/>
    <n v="0.49973616322701686"/>
    <x v="0"/>
    <n v="4264000"/>
  </r>
  <r>
    <s v="Cumilla"/>
    <s v="CUM"/>
    <x v="1"/>
    <n v="1790"/>
    <s v="কুমিল্লা জেলা"/>
    <n v="3146"/>
    <n v="2032.7002542911634"/>
    <n v="2130875"/>
    <n v="0.49973616322701686"/>
    <x v="1"/>
    <n v="4807649"/>
  </r>
  <r>
    <s v="Cumilla"/>
    <s v="CUM"/>
    <x v="1"/>
    <n v="1790"/>
    <s v="কুমিল্লা জেলা"/>
    <n v="3146"/>
    <n v="2032.7002542911634"/>
    <n v="2130875"/>
    <n v="0.49973616322701686"/>
    <x v="2"/>
    <n v="5602624"/>
  </r>
  <r>
    <s v="Cumilla"/>
    <s v="CUM"/>
    <x v="1"/>
    <n v="1790"/>
    <s v="কুমিল্লা জেলা"/>
    <n v="3146"/>
    <n v="2032.7002542911634"/>
    <n v="2130875"/>
    <n v="0.49973616322701686"/>
    <x v="3"/>
    <n v="6394875"/>
  </r>
  <r>
    <s v="Feni"/>
    <s v="FEN"/>
    <x v="1"/>
    <n v="1984"/>
    <s v="ফেনী জেলা"/>
    <n v="990"/>
    <n v="1714.5242424242424"/>
    <n v="539379"/>
    <n v="0.46578497409326425"/>
    <x v="0"/>
    <n v="1158000"/>
  </r>
  <r>
    <s v="Feni"/>
    <s v="FEN"/>
    <x v="1"/>
    <n v="1984"/>
    <s v="ফেনী জেলা"/>
    <n v="990"/>
    <n v="1714.5242424242424"/>
    <n v="539379"/>
    <n v="0.46578497409326425"/>
    <x v="1"/>
    <n v="1297987"/>
  </r>
  <r>
    <s v="Feni"/>
    <s v="FEN"/>
    <x v="1"/>
    <n v="1984"/>
    <s v="ফেনী জেলা"/>
    <n v="990"/>
    <n v="1714.5242424242424"/>
    <n v="539379"/>
    <n v="0.46578497409326425"/>
    <x v="2"/>
    <n v="1496139"/>
  </r>
  <r>
    <s v="Feni"/>
    <s v="FEN"/>
    <x v="1"/>
    <n v="1984"/>
    <s v="ফেনী জেলা"/>
    <n v="990"/>
    <n v="1714.5242424242424"/>
    <n v="539379"/>
    <n v="0.46578497409326425"/>
    <x v="3"/>
    <n v="1697379"/>
  </r>
  <r>
    <s v="Khagrachhari"/>
    <s v="KHA"/>
    <x v="1"/>
    <n v="1983"/>
    <s v="খাগড়াছড়ি জেলা"/>
    <n v="2749"/>
    <n v="267.41214987268097"/>
    <n v="369116"/>
    <n v="1.0085136612021859"/>
    <x v="0"/>
    <n v="366000"/>
  </r>
  <r>
    <s v="Khagrachhari"/>
    <s v="KHA"/>
    <x v="1"/>
    <n v="1983"/>
    <s v="খাগড়াছড়ি জেলা"/>
    <n v="2749"/>
    <n v="267.41214987268097"/>
    <n v="369116"/>
    <n v="1.0085136612021859"/>
    <x v="1"/>
    <n v="549134"/>
  </r>
  <r>
    <s v="Khagrachhari"/>
    <s v="KHA"/>
    <x v="1"/>
    <n v="1983"/>
    <s v="খাগড়াছড়ি জেলা"/>
    <n v="2749"/>
    <n v="267.41214987268097"/>
    <n v="369116"/>
    <n v="1.0085136612021859"/>
    <x v="2"/>
    <n v="638967"/>
  </r>
  <r>
    <s v="Khagrachhari"/>
    <s v="KHA"/>
    <x v="1"/>
    <n v="1983"/>
    <s v="খাগড়াছড়ি জেলা"/>
    <n v="2749"/>
    <n v="267.41214987268097"/>
    <n v="369116"/>
    <n v="1.0085136612021859"/>
    <x v="3"/>
    <n v="735116"/>
  </r>
  <r>
    <s v="Lakshmipur"/>
    <s v="LAK"/>
    <x v="1"/>
    <n v="1984"/>
    <s v="লক্ষ্মীপুর জেলা"/>
    <n v="1440"/>
    <n v="1385.3680555555557"/>
    <n v="603930"/>
    <n v="0.43416966211358737"/>
    <x v="0"/>
    <n v="1391000"/>
  </r>
  <r>
    <s v="Lakshmipur"/>
    <s v="LAK"/>
    <x v="1"/>
    <n v="1984"/>
    <s v="লক্ষ্মীপুর জেলা"/>
    <n v="1440"/>
    <n v="1385.3680555555557"/>
    <n v="603930"/>
    <n v="0.43416966211358737"/>
    <x v="1"/>
    <n v="1558618"/>
  </r>
  <r>
    <s v="Lakshmipur"/>
    <s v="LAK"/>
    <x v="1"/>
    <n v="1984"/>
    <s v="লক্ষ্মীপুর জেলা"/>
    <n v="1440"/>
    <n v="1385.3680555555557"/>
    <n v="603930"/>
    <n v="0.43416966211358737"/>
    <x v="2"/>
    <n v="1797761"/>
  </r>
  <r>
    <s v="Lakshmipur"/>
    <s v="LAK"/>
    <x v="1"/>
    <n v="1984"/>
    <s v="লক্ষ্মীপুর জেলা"/>
    <n v="1440"/>
    <n v="1385.3680555555557"/>
    <n v="603930"/>
    <n v="0.43416966211358737"/>
    <x v="3"/>
    <n v="1994930"/>
  </r>
  <r>
    <s v="Noakhali"/>
    <s v="NOA"/>
    <x v="1"/>
    <n v="1821"/>
    <s v="নোয়াখালী জেলা"/>
    <n v="3686"/>
    <n v="1012.491047205643"/>
    <n v="1386042"/>
    <n v="0.59081074168797953"/>
    <x v="0"/>
    <n v="2346000"/>
  </r>
  <r>
    <s v="Noakhali"/>
    <s v="NOA"/>
    <x v="1"/>
    <n v="1821"/>
    <s v="নোয়াখালী জেলা"/>
    <n v="3686"/>
    <n v="1012.491047205643"/>
    <n v="1386042"/>
    <n v="0.59081074168797953"/>
    <x v="1"/>
    <n v="2696453"/>
  </r>
  <r>
    <s v="Noakhali"/>
    <s v="NOA"/>
    <x v="1"/>
    <n v="1821"/>
    <s v="নোয়াখালী জেলা"/>
    <n v="3686"/>
    <n v="1012.491047205643"/>
    <n v="1386042"/>
    <n v="0.59081074168797953"/>
    <x v="2"/>
    <n v="3231832"/>
  </r>
  <r>
    <s v="Noakhali"/>
    <s v="NOA"/>
    <x v="1"/>
    <n v="1821"/>
    <s v="নোয়াখালী জেলা"/>
    <n v="3686"/>
    <n v="1012.491047205643"/>
    <n v="1386042"/>
    <n v="0.59081074168797953"/>
    <x v="3"/>
    <n v="3732042"/>
  </r>
  <r>
    <s v="Rangamati"/>
    <s v="RGM"/>
    <x v="1"/>
    <n v="1983"/>
    <s v="রাঙ্গামাটি জেলা"/>
    <n v="6116"/>
    <n v="108.99722040549379"/>
    <n v="236627"/>
    <n v="0.55029534883720932"/>
    <x v="0"/>
    <n v="430000"/>
  </r>
  <r>
    <s v="Rangamati"/>
    <s v="RGM"/>
    <x v="1"/>
    <n v="1983"/>
    <s v="রাঙ্গামাটি জেলা"/>
    <n v="6116"/>
    <n v="108.99722040549379"/>
    <n v="236627"/>
    <n v="0.55029534883720932"/>
    <x v="1"/>
    <n v="531489"/>
  </r>
  <r>
    <s v="Rangamati"/>
    <s v="RGM"/>
    <x v="1"/>
    <n v="1983"/>
    <s v="রাঙ্গামাটি জেলা"/>
    <n v="6116"/>
    <n v="108.99722040549379"/>
    <n v="236627"/>
    <n v="0.55029534883720932"/>
    <x v="2"/>
    <n v="620215"/>
  </r>
  <r>
    <s v="Rangamati"/>
    <s v="RGM"/>
    <x v="1"/>
    <n v="1983"/>
    <s v="রাঙ্গামাটি জেলা"/>
    <n v="6116"/>
    <n v="108.99722040549379"/>
    <n v="236627"/>
    <n v="0.55029534883720932"/>
    <x v="3"/>
    <n v="666627"/>
  </r>
  <r>
    <s v="Dhaka"/>
    <s v="DHA"/>
    <x v="2"/>
    <n v="1772"/>
    <s v="ঢাকা জেলা"/>
    <n v="1464"/>
    <n v="10389.925546448087"/>
    <n v="9046851"/>
    <n v="1.467691596365996"/>
    <x v="0"/>
    <n v="6164000"/>
  </r>
  <r>
    <s v="Dhaka"/>
    <s v="DHA"/>
    <x v="2"/>
    <n v="1772"/>
    <s v="ঢাকা জেলা"/>
    <n v="1464"/>
    <n v="10389.925546448087"/>
    <n v="9046851"/>
    <n v="1.467691596365996"/>
    <x v="1"/>
    <n v="9151343"/>
  </r>
  <r>
    <s v="Dhaka"/>
    <s v="DHA"/>
    <x v="2"/>
    <n v="1772"/>
    <s v="ঢাকা জেলা"/>
    <n v="1464"/>
    <n v="10389.925546448087"/>
    <n v="9046851"/>
    <n v="1.467691596365996"/>
    <x v="2"/>
    <n v="12517360"/>
  </r>
  <r>
    <s v="Dhaka"/>
    <s v="DHA"/>
    <x v="2"/>
    <n v="1772"/>
    <s v="ঢাকা জেলা"/>
    <n v="1464"/>
    <n v="10389.925546448087"/>
    <n v="9046851"/>
    <n v="1.467691596365996"/>
    <x v="3"/>
    <n v="15210851"/>
  </r>
  <r>
    <s v="Faridpur"/>
    <s v="FAR"/>
    <x v="2"/>
    <n v="1815"/>
    <s v="ফরিদপুর জেলা"/>
    <n v="2053"/>
    <n v="1087.5655138821237"/>
    <n v="673772"/>
    <n v="0.43218216805644644"/>
    <x v="0"/>
    <n v="1559000"/>
  </r>
  <r>
    <s v="Faridpur"/>
    <s v="FAR"/>
    <x v="2"/>
    <n v="1815"/>
    <s v="ফরিদপুর জেলা"/>
    <n v="2053"/>
    <n v="1087.5655138821237"/>
    <n v="673772"/>
    <n v="0.43218216805644644"/>
    <x v="1"/>
    <n v="1837631"/>
  </r>
  <r>
    <s v="Faridpur"/>
    <s v="FAR"/>
    <x v="2"/>
    <n v="1815"/>
    <s v="ফরিদপুর জেলা"/>
    <n v="2053"/>
    <n v="1087.5655138821237"/>
    <n v="673772"/>
    <n v="0.43218216805644644"/>
    <x v="2"/>
    <n v="1988695"/>
  </r>
  <r>
    <s v="Faridpur"/>
    <s v="FAR"/>
    <x v="2"/>
    <n v="1815"/>
    <s v="ফরিদপুর জেলা"/>
    <n v="2053"/>
    <n v="1087.5655138821237"/>
    <n v="673772"/>
    <n v="0.43218216805644644"/>
    <x v="3"/>
    <n v="2232772"/>
  </r>
  <r>
    <s v="Gazipur"/>
    <s v="GAZ"/>
    <x v="2"/>
    <n v="1984"/>
    <s v="গাজীপুর জেলা"/>
    <n v="1806"/>
    <n v="3008.6035437430787"/>
    <n v="3750538"/>
    <n v="2.2284836601307187"/>
    <x v="0"/>
    <n v="1683000"/>
  </r>
  <r>
    <s v="Gazipur"/>
    <s v="GAZ"/>
    <x v="2"/>
    <n v="1984"/>
    <s v="গাজীপুর জেলা"/>
    <n v="1806"/>
    <n v="3008.6035437430787"/>
    <n v="3750538"/>
    <n v="2.2284836601307187"/>
    <x v="1"/>
    <n v="2142179"/>
  </r>
  <r>
    <s v="Gazipur"/>
    <s v="GAZ"/>
    <x v="2"/>
    <n v="1984"/>
    <s v="গাজীপুর জেলা"/>
    <n v="1806"/>
    <n v="3008.6035437430787"/>
    <n v="3750538"/>
    <n v="2.2284836601307187"/>
    <x v="2"/>
    <n v="3548115"/>
  </r>
  <r>
    <s v="Gazipur"/>
    <s v="GAZ"/>
    <x v="2"/>
    <n v="1984"/>
    <s v="গাজীপুর জেলা"/>
    <n v="1806"/>
    <n v="3008.6035437430787"/>
    <n v="3750538"/>
    <n v="2.2284836601307187"/>
    <x v="3"/>
    <n v="5433538"/>
  </r>
  <r>
    <s v="Gopalganj"/>
    <s v="GOP"/>
    <x v="2"/>
    <n v="1984"/>
    <s v="গোপালগঞ্জ জেলা"/>
    <n v="1469"/>
    <n v="910.07964601769913"/>
    <n v="239907"/>
    <n v="0.21869371011850502"/>
    <x v="0"/>
    <n v="1097000"/>
  </r>
  <r>
    <s v="Gopalganj"/>
    <s v="GOP"/>
    <x v="2"/>
    <n v="1984"/>
    <s v="গোপালগঞ্জ জেলা"/>
    <n v="1469"/>
    <n v="910.07964601769913"/>
    <n v="239907"/>
    <n v="0.21869371011850502"/>
    <x v="1"/>
    <n v="1218789"/>
  </r>
  <r>
    <s v="Gopalganj"/>
    <s v="GOP"/>
    <x v="2"/>
    <n v="1984"/>
    <s v="গোপালগঞ্জ জেলা"/>
    <n v="1469"/>
    <n v="910.07964601769913"/>
    <n v="239907"/>
    <n v="0.21869371011850502"/>
    <x v="2"/>
    <n v="1218319"/>
  </r>
  <r>
    <s v="Gopalganj"/>
    <s v="GOP"/>
    <x v="2"/>
    <n v="1984"/>
    <s v="গোপালগঞ্জ জেলা"/>
    <n v="1469"/>
    <n v="910.07964601769913"/>
    <n v="239907"/>
    <n v="0.21869371011850502"/>
    <x v="3"/>
    <n v="1336907"/>
  </r>
  <r>
    <s v="Kishoreganj"/>
    <s v="KIS"/>
    <x v="2"/>
    <n v="1984"/>
    <s v="কিশোরগঞ্জ জেলা"/>
    <n v="2689"/>
    <n v="1254.451097062105"/>
    <n v="985219"/>
    <n v="0.412570770519263"/>
    <x v="0"/>
    <n v="2388000"/>
  </r>
  <r>
    <s v="Kishoreganj"/>
    <s v="KIS"/>
    <x v="2"/>
    <n v="1984"/>
    <s v="কিশোরগঞ্জ জেলা"/>
    <n v="2689"/>
    <n v="1254.451097062105"/>
    <n v="985219"/>
    <n v="0.412570770519263"/>
    <x v="1"/>
    <n v="2714721"/>
  </r>
  <r>
    <s v="Kishoreganj"/>
    <s v="KIS"/>
    <x v="2"/>
    <n v="1984"/>
    <s v="কিশোরগঞ্জ জেলা"/>
    <n v="2689"/>
    <n v="1254.451097062105"/>
    <n v="985219"/>
    <n v="0.412570770519263"/>
    <x v="2"/>
    <n v="3028706"/>
  </r>
  <r>
    <s v="Kishoreganj"/>
    <s v="KIS"/>
    <x v="2"/>
    <n v="1984"/>
    <s v="কিশোরগঞ্জ জেলা"/>
    <n v="2689"/>
    <n v="1254.451097062105"/>
    <n v="985219"/>
    <n v="0.412570770519263"/>
    <x v="3"/>
    <n v="3373219"/>
  </r>
  <r>
    <s v="Madaripur"/>
    <s v="MAD"/>
    <x v="2"/>
    <n v="1984"/>
    <s v="মাদারীপুর জেলা"/>
    <n v="1126"/>
    <n v="1185.4449378330373"/>
    <n v="228811"/>
    <n v="0.20688155515370704"/>
    <x v="0"/>
    <n v="1106000"/>
  </r>
  <r>
    <s v="Madaripur"/>
    <s v="MAD"/>
    <x v="2"/>
    <n v="1984"/>
    <s v="মাদারীপুর জেলা"/>
    <n v="1126"/>
    <n v="1185.4449378330373"/>
    <n v="228811"/>
    <n v="0.20688155515370704"/>
    <x v="1"/>
    <n v="1199374"/>
  </r>
  <r>
    <s v="Madaripur"/>
    <s v="MAD"/>
    <x v="2"/>
    <n v="1984"/>
    <s v="মাদারীপুর জেলা"/>
    <n v="1126"/>
    <n v="1185.4449378330373"/>
    <n v="228811"/>
    <n v="0.20688155515370704"/>
    <x v="2"/>
    <n v="1212199"/>
  </r>
  <r>
    <s v="Madaripur"/>
    <s v="MAD"/>
    <x v="2"/>
    <n v="1984"/>
    <s v="মাদারীপুর জেলা"/>
    <n v="1126"/>
    <n v="1185.4449378330373"/>
    <n v="228811"/>
    <n v="0.20688155515370704"/>
    <x v="3"/>
    <n v="1334811"/>
  </r>
  <r>
    <s v="Manikganj"/>
    <s v="MAN"/>
    <x v="2"/>
    <n v="1984"/>
    <s v="মানিকগঞ্জ জেলা"/>
    <n v="1384"/>
    <n v="1162.1184971098266"/>
    <n v="392372"/>
    <n v="0.32267434210526313"/>
    <x v="0"/>
    <n v="1216000"/>
  </r>
  <r>
    <s v="Manikganj"/>
    <s v="MAN"/>
    <x v="2"/>
    <n v="1984"/>
    <s v="মানিকগঞ্জ জেলা"/>
    <n v="1384"/>
    <n v="1162.1184971098266"/>
    <n v="392372"/>
    <n v="0.32267434210526313"/>
    <x v="1"/>
    <n v="1343468"/>
  </r>
  <r>
    <s v="Manikganj"/>
    <s v="MAN"/>
    <x v="2"/>
    <n v="1984"/>
    <s v="মানিকগঞ্জ জেলা"/>
    <n v="1384"/>
    <n v="1162.1184971098266"/>
    <n v="392372"/>
    <n v="0.32267434210526313"/>
    <x v="2"/>
    <n v="1447301"/>
  </r>
  <r>
    <s v="Manikganj"/>
    <s v="MAN"/>
    <x v="2"/>
    <n v="1984"/>
    <s v="মানিকগঞ্জ জেলা"/>
    <n v="1384"/>
    <n v="1162.1184971098266"/>
    <n v="392372"/>
    <n v="0.32267434210526313"/>
    <x v="3"/>
    <n v="1608372"/>
  </r>
  <r>
    <s v="Munshiganj"/>
    <s v="MUN"/>
    <x v="2"/>
    <n v="1984"/>
    <s v="মুন্সিগঞ্জ জেলা"/>
    <n v="1004"/>
    <n v="1671.2559760956176"/>
    <n v="448941"/>
    <n v="0.36528966639544347"/>
    <x v="0"/>
    <n v="1229000"/>
  </r>
  <r>
    <s v="Munshiganj"/>
    <s v="MUN"/>
    <x v="2"/>
    <n v="1984"/>
    <s v="মুন্সিগঞ্জ জেলা"/>
    <n v="1004"/>
    <n v="1671.2559760956176"/>
    <n v="448941"/>
    <n v="0.36528966639544347"/>
    <x v="1"/>
    <n v="1353615"/>
  </r>
  <r>
    <s v="Munshiganj"/>
    <s v="MUN"/>
    <x v="2"/>
    <n v="1984"/>
    <s v="মুন্সিগঞ্জ জেলা"/>
    <n v="1004"/>
    <n v="1671.2559760956176"/>
    <n v="448941"/>
    <n v="0.36528966639544347"/>
    <x v="2"/>
    <n v="1502449"/>
  </r>
  <r>
    <s v="Munshiganj"/>
    <s v="MUN"/>
    <x v="2"/>
    <n v="1984"/>
    <s v="মুন্সিগঞ্জ জেলা"/>
    <n v="1004"/>
    <n v="1671.2559760956176"/>
    <n v="448941"/>
    <n v="0.36528966639544347"/>
    <x v="3"/>
    <n v="1677941"/>
  </r>
  <r>
    <s v="Narayanganj"/>
    <s v="NYG"/>
    <x v="2"/>
    <n v="1984"/>
    <s v="নারায়ণগঞ্জ জেলা"/>
    <n v="684"/>
    <n v="5899.7967836257312"/>
    <n v="2216461"/>
    <n v="1.2185052226498077"/>
    <x v="0"/>
    <n v="1819000"/>
  </r>
  <r>
    <s v="Narayanganj"/>
    <s v="NYG"/>
    <x v="2"/>
    <n v="1984"/>
    <s v="নারায়ণগঞ্জ জেলা"/>
    <n v="684"/>
    <n v="5899.7967836257312"/>
    <n v="2216461"/>
    <n v="1.2185052226498077"/>
    <x v="1"/>
    <n v="2289797"/>
  </r>
  <r>
    <s v="Narayanganj"/>
    <s v="NYG"/>
    <x v="2"/>
    <n v="1984"/>
    <s v="নারায়ণগঞ্জ জেলা"/>
    <n v="684"/>
    <n v="5899.7967836257312"/>
    <n v="2216461"/>
    <n v="1.2185052226498077"/>
    <x v="2"/>
    <n v="3074078"/>
  </r>
  <r>
    <s v="Narayanganj"/>
    <s v="NYG"/>
    <x v="2"/>
    <n v="1984"/>
    <s v="নারায়ণগঞ্জ জেলা"/>
    <n v="684"/>
    <n v="5899.7967836257312"/>
    <n v="2216461"/>
    <n v="1.2185052226498077"/>
    <x v="3"/>
    <n v="4035461"/>
  </r>
  <r>
    <s v="Narsingdi"/>
    <s v="NSD"/>
    <x v="2"/>
    <n v="1984"/>
    <s v="নরসিংদী জেলা"/>
    <n v="1150"/>
    <n v="2319.9721739130437"/>
    <n v="957968"/>
    <n v="0.56021520467836261"/>
    <x v="0"/>
    <n v="1710000"/>
  </r>
  <r>
    <s v="Narsingdi"/>
    <s v="NSD"/>
    <x v="2"/>
    <n v="1984"/>
    <s v="নরসিংদী জেলা"/>
    <n v="1150"/>
    <n v="2319.9721739130437"/>
    <n v="957968"/>
    <n v="0.56021520467836261"/>
    <x v="1"/>
    <n v="1983571"/>
  </r>
  <r>
    <s v="Narsingdi"/>
    <s v="NSD"/>
    <x v="2"/>
    <n v="1984"/>
    <s v="নরসিংদী জেলা"/>
    <n v="1150"/>
    <n v="2319.9721739130437"/>
    <n v="957968"/>
    <n v="0.56021520467836261"/>
    <x v="2"/>
    <n v="2314889"/>
  </r>
  <r>
    <s v="Narsingdi"/>
    <s v="NSD"/>
    <x v="2"/>
    <n v="1984"/>
    <s v="নরসিংদী জেলা"/>
    <n v="1150"/>
    <n v="2319.9721739130437"/>
    <n v="957968"/>
    <n v="0.56021520467836261"/>
    <x v="3"/>
    <n v="2667968"/>
  </r>
  <r>
    <s v="Rajbari"/>
    <s v="RJB"/>
    <x v="2"/>
    <n v="1984"/>
    <s v="রাজবাড়ী জেলা"/>
    <n v="1092"/>
    <n v="1124.78663003663"/>
    <n v="362267"/>
    <n v="0.41832217090069285"/>
    <x v="0"/>
    <n v="866000"/>
  </r>
  <r>
    <s v="Rajbari"/>
    <s v="RJB"/>
    <x v="2"/>
    <n v="1984"/>
    <s v="রাজবাড়ী জেলা"/>
    <n v="1092"/>
    <n v="1124.78663003663"/>
    <n v="362267"/>
    <n v="0.41832217090069285"/>
    <x v="1"/>
    <n v="996147"/>
  </r>
  <r>
    <s v="Rajbari"/>
    <s v="RJB"/>
    <x v="2"/>
    <n v="1984"/>
    <s v="রাজবাড়ী জেলা"/>
    <n v="1092"/>
    <n v="1124.78663003663"/>
    <n v="362267"/>
    <n v="0.41832217090069285"/>
    <x v="2"/>
    <n v="1091263"/>
  </r>
  <r>
    <s v="Rajbari"/>
    <s v="RJB"/>
    <x v="2"/>
    <n v="1984"/>
    <s v="রাজবাড়ী জেলা"/>
    <n v="1092"/>
    <n v="1124.78663003663"/>
    <n v="362267"/>
    <n v="0.41832217090069285"/>
    <x v="3"/>
    <n v="1228267"/>
  </r>
  <r>
    <s v="Shariatpur"/>
    <s v="SHA"/>
    <x v="2"/>
    <n v="1984"/>
    <s v="শরিয়তপুর জেলা"/>
    <n v="1174"/>
    <n v="1138.3270868824532"/>
    <n v="350396"/>
    <n v="0.35537119675456391"/>
    <x v="0"/>
    <n v="986000"/>
  </r>
  <r>
    <s v="Shariatpur"/>
    <s v="SHA"/>
    <x v="2"/>
    <n v="1984"/>
    <s v="শরিয়তপুর জেলা"/>
    <n v="1174"/>
    <n v="1138.3270868824532"/>
    <n v="350396"/>
    <n v="0.35537119675456391"/>
    <x v="1"/>
    <n v="1132535"/>
  </r>
  <r>
    <s v="Shariatpur"/>
    <s v="SHA"/>
    <x v="2"/>
    <n v="1984"/>
    <s v="শরিয়তপুর জেলা"/>
    <n v="1174"/>
    <n v="1138.3270868824532"/>
    <n v="350396"/>
    <n v="0.35537119675456391"/>
    <x v="2"/>
    <n v="1201464"/>
  </r>
  <r>
    <s v="Shariatpur"/>
    <s v="SHA"/>
    <x v="2"/>
    <n v="1984"/>
    <s v="শরিয়তপুর জেলা"/>
    <n v="1174"/>
    <n v="1138.3270868824532"/>
    <n v="350396"/>
    <n v="0.35537119675456391"/>
    <x v="3"/>
    <n v="1336396"/>
  </r>
  <r>
    <s v="Tangail"/>
    <s v="TAN"/>
    <x v="2"/>
    <n v="1969"/>
    <s v="টাঙ্গাইল জেলা"/>
    <n v="3414"/>
    <n v="1220.8796133567662"/>
    <n v="1060083"/>
    <n v="0.34108204633204631"/>
    <x v="0"/>
    <n v="3108000"/>
  </r>
  <r>
    <s v="Tangail"/>
    <s v="TAN"/>
    <x v="2"/>
    <n v="1969"/>
    <s v="টাঙ্গাইল জেলা"/>
    <n v="3414"/>
    <n v="1220.8796133567662"/>
    <n v="1060083"/>
    <n v="0.34108204633204631"/>
    <x v="1"/>
    <n v="3443497"/>
  </r>
  <r>
    <s v="Tangail"/>
    <s v="TAN"/>
    <x v="2"/>
    <n v="1969"/>
    <s v="টাঙ্গাইল জেলা"/>
    <n v="3414"/>
    <n v="1220.8796133567662"/>
    <n v="1060083"/>
    <n v="0.34108204633204631"/>
    <x v="2"/>
    <n v="3749086"/>
  </r>
  <r>
    <s v="Tangail"/>
    <s v="TAN"/>
    <x v="2"/>
    <n v="1969"/>
    <s v="টাঙ্গাইল জেলা"/>
    <n v="3414"/>
    <n v="1220.8796133567662"/>
    <n v="1060083"/>
    <n v="0.34108204633204631"/>
    <x v="3"/>
    <n v="4168083"/>
  </r>
  <r>
    <s v="Jamalpur"/>
    <s v="JAM"/>
    <x v="3"/>
    <n v="1978"/>
    <s v="জামালপুর জেলা"/>
    <n v="2115"/>
    <n v="1221.7418439716312"/>
    <n v="640984"/>
    <n v="0.32989397838394235"/>
    <x v="0"/>
    <n v="1943000"/>
  </r>
  <r>
    <s v="Jamalpur"/>
    <s v="JAM"/>
    <x v="3"/>
    <n v="1978"/>
    <s v="জামালপুর জেলা"/>
    <n v="2115"/>
    <n v="1221.7418439716312"/>
    <n v="640984"/>
    <n v="0.32989397838394235"/>
    <x v="1"/>
    <n v="2205766"/>
  </r>
  <r>
    <s v="Jamalpur"/>
    <s v="JAM"/>
    <x v="3"/>
    <n v="1978"/>
    <s v="জামালপুর জেলা"/>
    <n v="2115"/>
    <n v="1221.7418439716312"/>
    <n v="640984"/>
    <n v="0.32989397838394235"/>
    <x v="2"/>
    <n v="2384811"/>
  </r>
  <r>
    <s v="Jamalpur"/>
    <s v="JAM"/>
    <x v="3"/>
    <n v="1978"/>
    <s v="জামালপুর জেলা"/>
    <n v="2115"/>
    <n v="1221.7418439716312"/>
    <n v="640984"/>
    <n v="0.32989397838394235"/>
    <x v="3"/>
    <n v="2583984"/>
  </r>
  <r>
    <s v="Mymensingh"/>
    <s v="MYM"/>
    <x v="3"/>
    <n v="1787"/>
    <s v="ময়মনসিংহ জেলা"/>
    <n v="4395"/>
    <n v="1387.4434584755404"/>
    <n v="2000814"/>
    <n v="0.48836075176958749"/>
    <x v="0"/>
    <n v="4097000"/>
  </r>
  <r>
    <s v="Mymensingh"/>
    <s v="MYM"/>
    <x v="3"/>
    <n v="1787"/>
    <s v="ময়মনসিংহ জেলা"/>
    <n v="4395"/>
    <n v="1387.4434584755404"/>
    <n v="2000814"/>
    <n v="0.48836075176958749"/>
    <x v="1"/>
    <n v="4696966"/>
  </r>
  <r>
    <s v="Mymensingh"/>
    <s v="MYM"/>
    <x v="3"/>
    <n v="1787"/>
    <s v="ময়মনসিংহ জেলা"/>
    <n v="4395"/>
    <n v="1387.4434584755404"/>
    <n v="2000814"/>
    <n v="0.48836075176958749"/>
    <x v="2"/>
    <n v="5313163"/>
  </r>
  <r>
    <s v="Mymensingh"/>
    <s v="MYM"/>
    <x v="3"/>
    <n v="1787"/>
    <s v="ময়মনসিংহ জেলা"/>
    <n v="4395"/>
    <n v="1387.4434584755404"/>
    <n v="2000814"/>
    <n v="0.48836075176958749"/>
    <x v="3"/>
    <n v="6097814"/>
  </r>
  <r>
    <s v="Netrakona"/>
    <s v="NET"/>
    <x v="3"/>
    <n v="1984"/>
    <s v="নেত্রকোনা জেলা"/>
    <n v="2794"/>
    <n v="860.13063707945594"/>
    <n v="612205"/>
    <n v="0.34182300390843107"/>
    <x v="0"/>
    <n v="1791000"/>
  </r>
  <r>
    <s v="Netrakona"/>
    <s v="NET"/>
    <x v="3"/>
    <n v="1984"/>
    <s v="নেত্রকোনা জেলা"/>
    <n v="2794"/>
    <n v="860.13063707945594"/>
    <n v="612205"/>
    <n v="0.34182300390843107"/>
    <x v="1"/>
    <n v="2079716"/>
  </r>
  <r>
    <s v="Netrakona"/>
    <s v="NET"/>
    <x v="3"/>
    <n v="1984"/>
    <s v="নেত্রকোনা জেলা"/>
    <n v="2794"/>
    <n v="860.13063707945594"/>
    <n v="612205"/>
    <n v="0.34182300390843107"/>
    <x v="2"/>
    <n v="2317190"/>
  </r>
  <r>
    <s v="Netrakona"/>
    <s v="NET"/>
    <x v="3"/>
    <n v="1984"/>
    <s v="নেত্রকোনা জেলা"/>
    <n v="2794"/>
    <n v="860.13063707945594"/>
    <n v="612205"/>
    <n v="0.34182300390843107"/>
    <x v="3"/>
    <n v="2403205"/>
  </r>
  <r>
    <s v="Sherpur"/>
    <s v="SHE"/>
    <x v="3"/>
    <n v="1984"/>
    <s v="শেরপুর জেলা"/>
    <n v="1365"/>
    <n v="1137.3399267399268"/>
    <n v="373469"/>
    <n v="0.31676759966072943"/>
    <x v="0"/>
    <n v="1179000"/>
  </r>
  <r>
    <s v="Sherpur"/>
    <s v="SHE"/>
    <x v="3"/>
    <n v="1984"/>
    <s v="শেরপুর জেলা"/>
    <n v="1365"/>
    <n v="1137.3399267399268"/>
    <n v="373469"/>
    <n v="0.31676759966072943"/>
    <x v="1"/>
    <n v="1338834"/>
  </r>
  <r>
    <s v="Sherpur"/>
    <s v="SHE"/>
    <x v="3"/>
    <n v="1984"/>
    <s v="শেরপুর জেলা"/>
    <n v="1365"/>
    <n v="1137.3399267399268"/>
    <n v="373469"/>
    <n v="0.31676759966072943"/>
    <x v="2"/>
    <n v="1412601"/>
  </r>
  <r>
    <s v="Sherpur"/>
    <s v="SHE"/>
    <x v="3"/>
    <n v="1984"/>
    <s v="শেরপুর জেলা"/>
    <n v="1365"/>
    <n v="1137.3399267399268"/>
    <n v="373469"/>
    <n v="0.31676759966072943"/>
    <x v="3"/>
    <n v="1552469"/>
  </r>
  <r>
    <s v="Bagerhat"/>
    <s v="BAG"/>
    <x v="4"/>
    <n v="1984"/>
    <s v="বাগেরহাট জেলা"/>
    <n v="3959"/>
    <n v="416.74008588027277"/>
    <n v="160874"/>
    <n v="0.10804163868368032"/>
    <x v="0"/>
    <n v="1489000"/>
  </r>
  <r>
    <s v="Bagerhat"/>
    <s v="BAG"/>
    <x v="4"/>
    <n v="1984"/>
    <s v="বাগেরহাট জেলা"/>
    <n v="3959"/>
    <n v="416.74008588027277"/>
    <n v="160874"/>
    <n v="0.10804163868368032"/>
    <x v="1"/>
    <n v="1620216"/>
  </r>
  <r>
    <s v="Bagerhat"/>
    <s v="BAG"/>
    <x v="4"/>
    <n v="1984"/>
    <s v="বাগেরহাট জেলা"/>
    <n v="3959"/>
    <n v="416.74008588027277"/>
    <n v="160874"/>
    <n v="0.10804163868368032"/>
    <x v="2"/>
    <n v="1534012"/>
  </r>
  <r>
    <s v="Bagerhat"/>
    <s v="BAG"/>
    <x v="4"/>
    <n v="1984"/>
    <s v="বাগেরহাট জেলা"/>
    <n v="3959"/>
    <n v="416.74008588027277"/>
    <n v="160874"/>
    <n v="0.10804163868368032"/>
    <x v="3"/>
    <n v="1649874"/>
  </r>
  <r>
    <s v="Chuadanga"/>
    <s v="CHU"/>
    <x v="4"/>
    <n v="1984"/>
    <s v="চুয়াডাঙ্গা জেলা"/>
    <n v="1174"/>
    <n v="1075.1320272572402"/>
    <n v="419205"/>
    <n v="0.4972775800711744"/>
    <x v="0"/>
    <n v="843000"/>
  </r>
  <r>
    <s v="Chuadanga"/>
    <s v="CHU"/>
    <x v="4"/>
    <n v="1984"/>
    <s v="চুয়াডাঙ্গা জেলা"/>
    <n v="1174"/>
    <n v="1075.1320272572402"/>
    <n v="419205"/>
    <n v="0.4972775800711744"/>
    <x v="1"/>
    <n v="1053936"/>
  </r>
  <r>
    <s v="Chuadanga"/>
    <s v="CHU"/>
    <x v="4"/>
    <n v="1984"/>
    <s v="চুয়াডাঙ্গা জেলা"/>
    <n v="1174"/>
    <n v="1075.1320272572402"/>
    <n v="419205"/>
    <n v="0.4972775800711744"/>
    <x v="2"/>
    <n v="1174836"/>
  </r>
  <r>
    <s v="Chuadanga"/>
    <s v="CHU"/>
    <x v="4"/>
    <n v="1984"/>
    <s v="চুয়াডাঙ্গা জেলা"/>
    <n v="1174"/>
    <n v="1075.1320272572402"/>
    <n v="419205"/>
    <n v="0.4972775800711744"/>
    <x v="3"/>
    <n v="1262205"/>
  </r>
  <r>
    <s v="Jessore"/>
    <s v="JES"/>
    <x v="4"/>
    <n v="1781"/>
    <s v="যশোর জেলা"/>
    <n v="2607"/>
    <n v="1206.8726505561949"/>
    <n v="953317"/>
    <n v="0.43470907432740535"/>
    <x v="0"/>
    <n v="2193000"/>
  </r>
  <r>
    <s v="Jessore"/>
    <s v="JES"/>
    <x v="4"/>
    <n v="1781"/>
    <s v="যশোর জেলা"/>
    <n v="2607"/>
    <n v="1206.8726505561949"/>
    <n v="953317"/>
    <n v="0.43470907432740535"/>
    <x v="1"/>
    <n v="2586771"/>
  </r>
  <r>
    <s v="Jessore"/>
    <s v="JES"/>
    <x v="4"/>
    <n v="1781"/>
    <s v="যশোর জেলা"/>
    <n v="2607"/>
    <n v="1206.8726505561949"/>
    <n v="953317"/>
    <n v="0.43470907432740535"/>
    <x v="2"/>
    <n v="2876380"/>
  </r>
  <r>
    <s v="Jessore"/>
    <s v="JES"/>
    <x v="4"/>
    <n v="1781"/>
    <s v="যশোর জেলা"/>
    <n v="2607"/>
    <n v="1206.8726505561949"/>
    <n v="953317"/>
    <n v="0.43470907432740535"/>
    <x v="3"/>
    <n v="3146317"/>
  </r>
  <r>
    <s v="Jhenaidah"/>
    <s v="JHE"/>
    <x v="4"/>
    <n v="1984"/>
    <s v="ঝিনাইদহ জেলা"/>
    <n v="1965"/>
    <n v="1044.0748091603054"/>
    <n v="631607"/>
    <n v="0.44479366197183101"/>
    <x v="0"/>
    <n v="1420000"/>
  </r>
  <r>
    <s v="Jhenaidah"/>
    <s v="JHE"/>
    <x v="4"/>
    <n v="1984"/>
    <s v="ঝিনাইদহ জেলা"/>
    <n v="1965"/>
    <n v="1044.0748091603054"/>
    <n v="631607"/>
    <n v="0.44479366197183101"/>
    <x v="1"/>
    <n v="1653843"/>
  </r>
  <r>
    <s v="Jhenaidah"/>
    <s v="JHE"/>
    <x v="4"/>
    <n v="1984"/>
    <s v="ঝিনাইদহ জেলা"/>
    <n v="1965"/>
    <n v="1044.0748091603054"/>
    <n v="631607"/>
    <n v="0.44479366197183101"/>
    <x v="2"/>
    <n v="1842573"/>
  </r>
  <r>
    <s v="Jhenaidah"/>
    <s v="JHE"/>
    <x v="4"/>
    <n v="1984"/>
    <s v="ঝিনাইদহ জেলা"/>
    <n v="1965"/>
    <n v="1044.0748091603054"/>
    <n v="631607"/>
    <n v="0.44479366197183101"/>
    <x v="3"/>
    <n v="2051607"/>
  </r>
  <r>
    <s v="Khulna"/>
    <s v="KHU"/>
    <x v="4"/>
    <n v="1882"/>
    <s v="খুলনা জেলা"/>
    <n v="4394"/>
    <n v="608.32999544833865"/>
    <n v="542002"/>
    <n v="0.25434162365086815"/>
    <x v="0"/>
    <n v="2131000"/>
  </r>
  <r>
    <s v="Khulna"/>
    <s v="KHU"/>
    <x v="4"/>
    <n v="1882"/>
    <s v="খুলনা জেলা"/>
    <n v="4394"/>
    <n v="608.32999544833865"/>
    <n v="542002"/>
    <n v="0.25434162365086815"/>
    <x v="1"/>
    <n v="2520962"/>
  </r>
  <r>
    <s v="Khulna"/>
    <s v="KHU"/>
    <x v="4"/>
    <n v="1882"/>
    <s v="খুলনা জেলা"/>
    <n v="4394"/>
    <n v="608.32999544833865"/>
    <n v="542002"/>
    <n v="0.25434162365086815"/>
    <x v="2"/>
    <n v="2407679"/>
  </r>
  <r>
    <s v="Khulna"/>
    <s v="KHU"/>
    <x v="4"/>
    <n v="1882"/>
    <s v="খুলনা জেলা"/>
    <n v="4394"/>
    <n v="608.32999544833865"/>
    <n v="542002"/>
    <n v="0.25434162365086815"/>
    <x v="3"/>
    <n v="2673002"/>
  </r>
  <r>
    <s v="Kushtia"/>
    <s v="KUS"/>
    <x v="4"/>
    <n v="1947"/>
    <s v="কুষ্টিয়া জেলা"/>
    <n v="1609"/>
    <n v="1366.5201988812928"/>
    <n v="636731"/>
    <n v="0.40763828425096033"/>
    <x v="0"/>
    <n v="1562000"/>
  </r>
  <r>
    <s v="Kushtia"/>
    <s v="KUS"/>
    <x v="4"/>
    <n v="1947"/>
    <s v="কুষ্টিয়া জেলা"/>
    <n v="1609"/>
    <n v="1366.5201988812928"/>
    <n v="636731"/>
    <n v="0.40763828425096033"/>
    <x v="1"/>
    <n v="1820554"/>
  </r>
  <r>
    <s v="Kushtia"/>
    <s v="KUS"/>
    <x v="4"/>
    <n v="1947"/>
    <s v="কুষ্টিয়া জেলা"/>
    <n v="1609"/>
    <n v="1366.5201988812928"/>
    <n v="636731"/>
    <n v="0.40763828425096033"/>
    <x v="2"/>
    <n v="2023657"/>
  </r>
  <r>
    <s v="Kushtia"/>
    <s v="KUS"/>
    <x v="4"/>
    <n v="1947"/>
    <s v="কুষ্টিয়া জেলা"/>
    <n v="1609"/>
    <n v="1366.5201988812928"/>
    <n v="636731"/>
    <n v="0.40763828425096033"/>
    <x v="3"/>
    <n v="2198731"/>
  </r>
  <r>
    <s v="Magura"/>
    <s v="MAG"/>
    <x v="4"/>
    <n v="1984"/>
    <s v="মাগুরা জেলা"/>
    <n v="1039"/>
    <n v="1017.0192492781521"/>
    <n v="304683"/>
    <n v="0.40516356382978724"/>
    <x v="0"/>
    <n v="752000"/>
  </r>
  <r>
    <s v="Magura"/>
    <s v="MAG"/>
    <x v="4"/>
    <n v="1984"/>
    <s v="মাগুরা জেলা"/>
    <n v="1039"/>
    <n v="1017.0192492781521"/>
    <n v="304683"/>
    <n v="0.40516356382978724"/>
    <x v="1"/>
    <n v="862777"/>
  </r>
  <r>
    <s v="Magura"/>
    <s v="MAG"/>
    <x v="4"/>
    <n v="1984"/>
    <s v="মাগুরা জেলা"/>
    <n v="1039"/>
    <n v="1017.0192492781521"/>
    <n v="304683"/>
    <n v="0.40516356382978724"/>
    <x v="2"/>
    <n v="954804"/>
  </r>
  <r>
    <s v="Magura"/>
    <s v="MAG"/>
    <x v="4"/>
    <n v="1984"/>
    <s v="মাগুরা জেলা"/>
    <n v="1039"/>
    <n v="1017.0192492781521"/>
    <n v="304683"/>
    <n v="0.40516356382978724"/>
    <x v="3"/>
    <n v="1056683"/>
  </r>
  <r>
    <s v="Meherpur"/>
    <s v="MEH"/>
    <x v="4"/>
    <n v="1984"/>
    <s v="মেহেরপুর জেলা"/>
    <n v="752"/>
    <n v="959.37101063829789"/>
    <n v="210447"/>
    <n v="0.41183365949119372"/>
    <x v="0"/>
    <n v="511000"/>
  </r>
  <r>
    <s v="Meherpur"/>
    <s v="MEH"/>
    <x v="4"/>
    <n v="1984"/>
    <s v="মেহেরপুর জেলা"/>
    <n v="752"/>
    <n v="959.37101063829789"/>
    <n v="210447"/>
    <n v="0.41183365949119372"/>
    <x v="1"/>
    <n v="618466"/>
  </r>
  <r>
    <s v="Meherpur"/>
    <s v="MEH"/>
    <x v="4"/>
    <n v="1984"/>
    <s v="মেহেরপুর জেলা"/>
    <n v="752"/>
    <n v="959.37101063829789"/>
    <n v="210447"/>
    <n v="0.41183365949119372"/>
    <x v="2"/>
    <n v="681331"/>
  </r>
  <r>
    <s v="Meherpur"/>
    <s v="MEH"/>
    <x v="4"/>
    <n v="1984"/>
    <s v="মেহেরপুর জেলা"/>
    <n v="752"/>
    <n v="959.37101063829789"/>
    <n v="210447"/>
    <n v="0.41183365949119372"/>
    <x v="3"/>
    <n v="721447"/>
  </r>
  <r>
    <s v="Narail"/>
    <s v="NRA"/>
    <x v="4"/>
    <n v="1984"/>
    <s v="নড়াইল জেলা"/>
    <n v="968"/>
    <n v="833.32851239669424"/>
    <n v="124662"/>
    <n v="0.18278885630498534"/>
    <x v="0"/>
    <n v="682000"/>
  </r>
  <r>
    <s v="Narail"/>
    <s v="NRA"/>
    <x v="4"/>
    <n v="1984"/>
    <s v="নড়াইল জেলা"/>
    <n v="968"/>
    <n v="833.32851239669424"/>
    <n v="124662"/>
    <n v="0.18278885630498534"/>
    <x v="1"/>
    <n v="730568"/>
  </r>
  <r>
    <s v="Narail"/>
    <s v="NRA"/>
    <x v="4"/>
    <n v="1984"/>
    <s v="নড়াইল জেলা"/>
    <n v="968"/>
    <n v="833.32851239669424"/>
    <n v="124662"/>
    <n v="0.18278885630498534"/>
    <x v="2"/>
    <n v="750425"/>
  </r>
  <r>
    <s v="Narail"/>
    <s v="NRA"/>
    <x v="4"/>
    <n v="1984"/>
    <s v="নড়াইল জেলা"/>
    <n v="968"/>
    <n v="833.32851239669424"/>
    <n v="124662"/>
    <n v="0.18278885630498534"/>
    <x v="3"/>
    <n v="806662"/>
  </r>
  <r>
    <s v="Satkhira"/>
    <s v="SAT"/>
    <x v="4"/>
    <n v="1984"/>
    <s v="সাতক্ষীরা জেলা"/>
    <n v="3817"/>
    <n v="588.60125753209331"/>
    <n v="586691"/>
    <n v="0.35342831325301205"/>
    <x v="0"/>
    <n v="1660000"/>
  </r>
  <r>
    <s v="Satkhira"/>
    <s v="SAT"/>
    <x v="4"/>
    <n v="1984"/>
    <s v="সাতক্ষীরা জেলা"/>
    <n v="3817"/>
    <n v="588.60125753209331"/>
    <n v="586691"/>
    <n v="0.35342831325301205"/>
    <x v="1"/>
    <n v="1950557"/>
  </r>
  <r>
    <s v="Satkhira"/>
    <s v="SAT"/>
    <x v="4"/>
    <n v="1984"/>
    <s v="সাতক্ষীরা জেলা"/>
    <n v="3817"/>
    <n v="588.60125753209331"/>
    <n v="586691"/>
    <n v="0.35342831325301205"/>
    <x v="2"/>
    <n v="2063610"/>
  </r>
  <r>
    <s v="Satkhira"/>
    <s v="SAT"/>
    <x v="4"/>
    <n v="1984"/>
    <s v="সাতক্ষীরা জেলা"/>
    <n v="3817"/>
    <n v="588.60125753209331"/>
    <n v="586691"/>
    <n v="0.35342831325301205"/>
    <x v="3"/>
    <n v="2246691"/>
  </r>
  <r>
    <s v="Bogra"/>
    <s v="BOG"/>
    <x v="5"/>
    <n v="1821"/>
    <s v="বগুড়া জেলা"/>
    <n v="2899"/>
    <n v="1316.037254225595"/>
    <n v="1016192"/>
    <n v="0.36305537692032869"/>
    <x v="0"/>
    <n v="2799000"/>
  </r>
  <r>
    <s v="Bogra"/>
    <s v="BOG"/>
    <x v="5"/>
    <n v="1821"/>
    <s v="বগুড়া জেলা"/>
    <n v="2899"/>
    <n v="1316.037254225595"/>
    <n v="1016192"/>
    <n v="0.36305537692032869"/>
    <x v="1"/>
    <n v="3151389"/>
  </r>
  <r>
    <s v="Bogra"/>
    <s v="BOG"/>
    <x v="5"/>
    <n v="1821"/>
    <s v="বগুড়া জেলা"/>
    <n v="2899"/>
    <n v="1316.037254225595"/>
    <n v="1016192"/>
    <n v="0.36305537692032869"/>
    <x v="2"/>
    <n v="3539293"/>
  </r>
  <r>
    <s v="Bogra"/>
    <s v="BOG"/>
    <x v="5"/>
    <n v="1821"/>
    <s v="বগুড়া জেলা"/>
    <n v="2899"/>
    <n v="1316.037254225595"/>
    <n v="1016192"/>
    <n v="0.36305537692032869"/>
    <x v="3"/>
    <n v="3815192"/>
  </r>
  <r>
    <s v="Chapai Nawabganj"/>
    <s v="NAW"/>
    <x v="5"/>
    <n v="1984"/>
    <s v="চাঁপাইনবাবগঞ্জ জেলা"/>
    <n v="1703"/>
    <n v="1101.1685261303583"/>
    <n v="644290"/>
    <n v="0.52338748984565397"/>
    <x v="0"/>
    <n v="1231000"/>
  </r>
  <r>
    <s v="Chapai Nawabganj"/>
    <s v="NAW"/>
    <x v="5"/>
    <n v="1984"/>
    <s v="চাঁপাইনবাবগঞ্জ জেলা"/>
    <n v="1703"/>
    <n v="1101.1685261303583"/>
    <n v="644290"/>
    <n v="0.52338748984565397"/>
    <x v="1"/>
    <n v="1492192"/>
  </r>
  <r>
    <s v="Chapai Nawabganj"/>
    <s v="NAW"/>
    <x v="5"/>
    <n v="1984"/>
    <s v="চাঁপাইনবাবগঞ্জ জেলা"/>
    <n v="1703"/>
    <n v="1101.1685261303583"/>
    <n v="644290"/>
    <n v="0.52338748984565397"/>
    <x v="2"/>
    <n v="1714249"/>
  </r>
  <r>
    <s v="Chapai Nawabganj"/>
    <s v="NAW"/>
    <x v="5"/>
    <n v="1984"/>
    <s v="চাঁপাইনবাবগঞ্জ জেলা"/>
    <n v="1703"/>
    <n v="1101.1685261303583"/>
    <n v="644290"/>
    <n v="0.52338748984565397"/>
    <x v="3"/>
    <n v="1875290"/>
  </r>
  <r>
    <s v="Jaipurhat"/>
    <s v="JAI"/>
    <x v="5"/>
    <n v="1983"/>
    <s v="জয়পুরহাট জেলা"/>
    <n v="1012"/>
    <n v="965.56324110671937"/>
    <n v="175150"/>
    <n v="0.21839152119700747"/>
    <x v="0"/>
    <n v="802000"/>
  </r>
  <r>
    <s v="Jaipurhat"/>
    <s v="JAI"/>
    <x v="5"/>
    <n v="1983"/>
    <s v="জয়পুরহাট জেলা"/>
    <n v="1012"/>
    <n v="965.56324110671937"/>
    <n v="175150"/>
    <n v="0.21839152119700747"/>
    <x v="1"/>
    <n v="885909"/>
  </r>
  <r>
    <s v="Jaipurhat"/>
    <s v="JAI"/>
    <x v="5"/>
    <n v="1983"/>
    <s v="জয়পুরহাট জেলা"/>
    <n v="1012"/>
    <n v="965.56324110671937"/>
    <n v="175150"/>
    <n v="0.21839152119700747"/>
    <x v="2"/>
    <n v="950440"/>
  </r>
  <r>
    <s v="Jaipurhat"/>
    <s v="JAI"/>
    <x v="5"/>
    <n v="1983"/>
    <s v="জয়পুরহাট জেলা"/>
    <n v="1012"/>
    <n v="965.56324110671937"/>
    <n v="175150"/>
    <n v="0.21839152119700747"/>
    <x v="3"/>
    <n v="977150"/>
  </r>
  <r>
    <s v="Naogaon"/>
    <s v="NAO"/>
    <x v="5"/>
    <n v="1984"/>
    <s v="নওগাঁ জেলা"/>
    <n v="3436"/>
    <n v="827.97467986030267"/>
    <n v="593921"/>
    <n v="0.26384762327854289"/>
    <x v="0"/>
    <n v="2251000"/>
  </r>
  <r>
    <s v="Naogaon"/>
    <s v="NAO"/>
    <x v="5"/>
    <n v="1984"/>
    <s v="নওগাঁ জেলা"/>
    <n v="3436"/>
    <n v="827.97467986030267"/>
    <n v="593921"/>
    <n v="0.26384762327854289"/>
    <x v="1"/>
    <n v="2500932"/>
  </r>
  <r>
    <s v="Naogaon"/>
    <s v="NAO"/>
    <x v="5"/>
    <n v="1984"/>
    <s v="নওগাঁ জেলা"/>
    <n v="3436"/>
    <n v="827.97467986030267"/>
    <n v="593921"/>
    <n v="0.26384762327854289"/>
    <x v="2"/>
    <n v="2701906"/>
  </r>
  <r>
    <s v="Naogaon"/>
    <s v="NAO"/>
    <x v="5"/>
    <n v="1984"/>
    <s v="নওগাঁ জেলা"/>
    <n v="3436"/>
    <n v="827.97467986030267"/>
    <n v="593921"/>
    <n v="0.26384762327854289"/>
    <x v="3"/>
    <n v="2844921"/>
  </r>
  <r>
    <s v="Natore"/>
    <s v="NAT"/>
    <x v="5"/>
    <n v="1984"/>
    <s v="নাটোর জেলা"/>
    <n v="1900"/>
    <n v="1000.1121052631579"/>
    <n v="445213"/>
    <n v="0.30598831615120275"/>
    <x v="0"/>
    <n v="1455000"/>
  </r>
  <r>
    <s v="Natore"/>
    <s v="NAT"/>
    <x v="5"/>
    <n v="1984"/>
    <s v="নাটোর জেলা"/>
    <n v="1900"/>
    <n v="1000.1121052631579"/>
    <n v="445213"/>
    <n v="0.30598831615120275"/>
    <x v="1"/>
    <n v="1591944"/>
  </r>
  <r>
    <s v="Natore"/>
    <s v="NAT"/>
    <x v="5"/>
    <n v="1984"/>
    <s v="নাটোর জেলা"/>
    <n v="1900"/>
    <n v="1000.1121052631579"/>
    <n v="445213"/>
    <n v="0.30598831615120275"/>
    <x v="2"/>
    <n v="1774832"/>
  </r>
  <r>
    <s v="Natore"/>
    <s v="NAT"/>
    <x v="5"/>
    <n v="1984"/>
    <s v="নাটোর জেলা"/>
    <n v="1900"/>
    <n v="1000.1121052631579"/>
    <n v="445213"/>
    <n v="0.30598831615120275"/>
    <x v="3"/>
    <n v="1900213"/>
  </r>
  <r>
    <s v="Pabna"/>
    <s v="PAB"/>
    <x v="5"/>
    <n v="1832"/>
    <s v="পাবনা জেলা"/>
    <n v="2376"/>
    <n v="1251.1170033670035"/>
    <n v="955654"/>
    <n v="0.47379970252850767"/>
    <x v="0"/>
    <n v="2017000"/>
  </r>
  <r>
    <s v="Pabna"/>
    <s v="PAB"/>
    <x v="5"/>
    <n v="1832"/>
    <s v="পাবনা জেলা"/>
    <n v="2376"/>
    <n v="1251.1170033670035"/>
    <n v="955654"/>
    <n v="0.47379970252850767"/>
    <x v="1"/>
    <n v="2278141"/>
  </r>
  <r>
    <s v="Pabna"/>
    <s v="PAB"/>
    <x v="5"/>
    <n v="1832"/>
    <s v="পাবনা জেলা"/>
    <n v="2376"/>
    <n v="1251.1170033670035"/>
    <n v="955654"/>
    <n v="0.47379970252850767"/>
    <x v="2"/>
    <n v="2624683"/>
  </r>
  <r>
    <s v="Pabna"/>
    <s v="PAB"/>
    <x v="5"/>
    <n v="1832"/>
    <s v="পাবনা জেলা"/>
    <n v="2376"/>
    <n v="1251.1170033670035"/>
    <n v="955654"/>
    <n v="0.47379970252850767"/>
    <x v="3"/>
    <n v="2972654"/>
  </r>
  <r>
    <s v="Rajshahi"/>
    <s v="RJS"/>
    <x v="5"/>
    <n v="1772"/>
    <s v="রাজশাহী জেলা"/>
    <n v="2425"/>
    <n v="1228.1055670103092"/>
    <n v="990156"/>
    <n v="0.49806639839034206"/>
    <x v="0"/>
    <n v="1988000"/>
  </r>
  <r>
    <s v="Rajshahi"/>
    <s v="RJS"/>
    <x v="5"/>
    <n v="1772"/>
    <s v="রাজশাহী জেলা"/>
    <n v="2425"/>
    <n v="1228.1055670103092"/>
    <n v="990156"/>
    <n v="0.49806639839034206"/>
    <x v="1"/>
    <n v="2410086"/>
  </r>
  <r>
    <s v="Rajshahi"/>
    <s v="RJS"/>
    <x v="5"/>
    <n v="1772"/>
    <s v="রাজশাহী জেলা"/>
    <n v="2425"/>
    <n v="1228.1055670103092"/>
    <n v="990156"/>
    <n v="0.49806639839034206"/>
    <x v="2"/>
    <n v="2699688"/>
  </r>
  <r>
    <s v="Rajshahi"/>
    <s v="RJS"/>
    <x v="5"/>
    <n v="1772"/>
    <s v="রাজশাহী জেলা"/>
    <n v="2425"/>
    <n v="1228.1055670103092"/>
    <n v="990156"/>
    <n v="0.49806639839034206"/>
    <x v="3"/>
    <n v="2978156"/>
  </r>
  <r>
    <s v="Sirajganj"/>
    <s v="SIR"/>
    <x v="5"/>
    <n v="1984"/>
    <s v="সিরাজগঞ্জ জেলা"/>
    <n v="2402"/>
    <n v="1428.1611157368859"/>
    <n v="1056443"/>
    <n v="0.44500547598989049"/>
    <x v="0"/>
    <n v="2374000"/>
  </r>
  <r>
    <s v="Sirajganj"/>
    <s v="SIR"/>
    <x v="5"/>
    <n v="1984"/>
    <s v="সিরাজগঞ্জ জেলা"/>
    <n v="2402"/>
    <n v="1428.1611157368859"/>
    <n v="1056443"/>
    <n v="0.44500547598989049"/>
    <x v="1"/>
    <n v="2818739"/>
  </r>
  <r>
    <s v="Sirajganj"/>
    <s v="SIR"/>
    <x v="5"/>
    <n v="1984"/>
    <s v="সিরাজগঞ্জ জেলা"/>
    <n v="2402"/>
    <n v="1428.1611157368859"/>
    <n v="1056443"/>
    <n v="0.44500547598989049"/>
    <x v="2"/>
    <n v="3220812"/>
  </r>
  <r>
    <s v="Sirajganj"/>
    <s v="SIR"/>
    <x v="5"/>
    <n v="1984"/>
    <s v="সিরাজগঞ্জ জেলা"/>
    <n v="2402"/>
    <n v="1428.1611157368859"/>
    <n v="1056443"/>
    <n v="0.44500547598989049"/>
    <x v="3"/>
    <n v="3430443"/>
  </r>
  <r>
    <s v="Dinajpur"/>
    <s v="DIN"/>
    <x v="6"/>
    <n v="1786"/>
    <s v="দিনাজপুর জেলা"/>
    <n v="3444"/>
    <n v="984.97415795586528"/>
    <n v="1021251"/>
    <n v="0.43072585407001263"/>
    <x v="0"/>
    <n v="2371000"/>
  </r>
  <r>
    <s v="Dinajpur"/>
    <s v="DIN"/>
    <x v="6"/>
    <n v="1786"/>
    <s v="দিনাজপুর জেলা"/>
    <n v="3444"/>
    <n v="984.97415795586528"/>
    <n v="1021251"/>
    <n v="0.43072585407001263"/>
    <x v="1"/>
    <n v="2765797"/>
  </r>
  <r>
    <s v="Dinajpur"/>
    <s v="DIN"/>
    <x v="6"/>
    <n v="1786"/>
    <s v="দিনাজপুর জেলা"/>
    <n v="3444"/>
    <n v="984.97415795586528"/>
    <n v="1021251"/>
    <n v="0.43072585407001263"/>
    <x v="2"/>
    <n v="3109626"/>
  </r>
  <r>
    <s v="Dinajpur"/>
    <s v="DIN"/>
    <x v="6"/>
    <n v="1786"/>
    <s v="দিনাজপুর জেলা"/>
    <n v="3444"/>
    <n v="984.97415795586528"/>
    <n v="1021251"/>
    <n v="0.43072585407001263"/>
    <x v="3"/>
    <n v="3392251"/>
  </r>
  <r>
    <s v="Gaibandha"/>
    <s v="GAI"/>
    <x v="6"/>
    <n v="1984"/>
    <s v="গাইবান্ধা জেলা"/>
    <n v="2115"/>
    <n v="1239.6009456264776"/>
    <n v="580756"/>
    <n v="0.28454483096521316"/>
    <x v="0"/>
    <n v="2041000"/>
  </r>
  <r>
    <s v="Gaibandha"/>
    <s v="GAI"/>
    <x v="6"/>
    <n v="1984"/>
    <s v="গাইবান্ধা জেলা"/>
    <n v="2115"/>
    <n v="1239.6009456264776"/>
    <n v="580756"/>
    <n v="0.28454483096521316"/>
    <x v="1"/>
    <n v="2235559"/>
  </r>
  <r>
    <s v="Gaibandha"/>
    <s v="GAI"/>
    <x v="6"/>
    <n v="1984"/>
    <s v="গাইবান্ধা জেলা"/>
    <n v="2115"/>
    <n v="1239.6009456264776"/>
    <n v="580756"/>
    <n v="0.28454483096521316"/>
    <x v="2"/>
    <n v="2471680"/>
  </r>
  <r>
    <s v="Gaibandha"/>
    <s v="GAI"/>
    <x v="6"/>
    <n v="1984"/>
    <s v="গাইবান্ধা জেলা"/>
    <n v="2115"/>
    <n v="1239.6009456264776"/>
    <n v="580756"/>
    <n v="0.28454483096521316"/>
    <x v="3"/>
    <n v="2621756"/>
  </r>
  <r>
    <s v="Kurigram"/>
    <s v="KUR"/>
    <x v="6"/>
    <n v="1984"/>
    <s v="কুড়িগ্রাম জেলা"/>
    <n v="2245"/>
    <n v="1061.5893095768374"/>
    <n v="703268"/>
    <n v="0.41861190476190474"/>
    <x v="0"/>
    <n v="1680000"/>
  </r>
  <r>
    <s v="Kurigram"/>
    <s v="KUR"/>
    <x v="6"/>
    <n v="1984"/>
    <s v="কুড়িগ্রাম জেলা"/>
    <n v="2245"/>
    <n v="1061.5893095768374"/>
    <n v="703268"/>
    <n v="0.41861190476190474"/>
    <x v="1"/>
    <n v="1873185"/>
  </r>
  <r>
    <s v="Kurigram"/>
    <s v="KUR"/>
    <x v="6"/>
    <n v="1984"/>
    <s v="কুড়িগ্রাম জেলা"/>
    <n v="2245"/>
    <n v="1061.5893095768374"/>
    <n v="703268"/>
    <n v="0.41861190476190474"/>
    <x v="2"/>
    <n v="2150974"/>
  </r>
  <r>
    <s v="Kurigram"/>
    <s v="KUR"/>
    <x v="6"/>
    <n v="1984"/>
    <s v="কুড়িগ্রাম জেলা"/>
    <n v="2245"/>
    <n v="1061.5893095768374"/>
    <n v="703268"/>
    <n v="0.41861190476190474"/>
    <x v="3"/>
    <n v="2383268"/>
  </r>
  <r>
    <s v="Lalmonirhat"/>
    <s v="LAL"/>
    <x v="6"/>
    <n v="1984"/>
    <s v="লালমনিরহাট জেলা"/>
    <n v="1247"/>
    <n v="1172.0842020850041"/>
    <n v="462589"/>
    <n v="0.46305205205205208"/>
    <x v="0"/>
    <n v="999000"/>
  </r>
  <r>
    <s v="Lalmonirhat"/>
    <s v="LAL"/>
    <x v="6"/>
    <n v="1984"/>
    <s v="লালমনিরহাট জেলা"/>
    <n v="1247"/>
    <n v="1172.0842020850041"/>
    <n v="462589"/>
    <n v="0.46305205205205208"/>
    <x v="1"/>
    <n v="1160226"/>
  </r>
  <r>
    <s v="Lalmonirhat"/>
    <s v="LAL"/>
    <x v="6"/>
    <n v="1984"/>
    <s v="লালমনিরহাট জেলা"/>
    <n v="1247"/>
    <n v="1172.0842020850041"/>
    <n v="462589"/>
    <n v="0.46305205205205208"/>
    <x v="2"/>
    <n v="1305248"/>
  </r>
  <r>
    <s v="Lalmonirhat"/>
    <s v="LAL"/>
    <x v="6"/>
    <n v="1984"/>
    <s v="লালমনিরহাট জেলা"/>
    <n v="1247"/>
    <n v="1172.0842020850041"/>
    <n v="462589"/>
    <n v="0.46305205205205208"/>
    <x v="3"/>
    <n v="1461589"/>
  </r>
  <r>
    <s v="Nilphamari"/>
    <s v="NIL"/>
    <x v="6"/>
    <n v="1984"/>
    <s v="নীলফামারী জেলা"/>
    <n v="1547"/>
    <n v="1384.0853264382677"/>
    <n v="725180"/>
    <n v="0.51213276836158195"/>
    <x v="0"/>
    <n v="1416000"/>
  </r>
  <r>
    <s v="Nilphamari"/>
    <s v="NIL"/>
    <x v="6"/>
    <n v="1984"/>
    <s v="নীলফামারী জেলা"/>
    <n v="1547"/>
    <n v="1384.0853264382677"/>
    <n v="725180"/>
    <n v="0.51213276836158195"/>
    <x v="1"/>
    <n v="1644500"/>
  </r>
  <r>
    <s v="Nilphamari"/>
    <s v="NIL"/>
    <x v="6"/>
    <n v="1984"/>
    <s v="নীলফামারী জেলা"/>
    <n v="1547"/>
    <n v="1384.0853264382677"/>
    <n v="725180"/>
    <n v="0.51213276836158195"/>
    <x v="2"/>
    <n v="1907497"/>
  </r>
  <r>
    <s v="Nilphamari"/>
    <s v="NIL"/>
    <x v="6"/>
    <n v="1984"/>
    <s v="নীলফামারী জেলা"/>
    <n v="1547"/>
    <n v="1384.0853264382677"/>
    <n v="725180"/>
    <n v="0.51213276836158195"/>
    <x v="3"/>
    <n v="2141180"/>
  </r>
  <r>
    <s v="Panchagarh"/>
    <s v="PAN"/>
    <x v="6"/>
    <n v="1984"/>
    <s v="পঞ্চগড় জেলা"/>
    <n v="1405"/>
    <n v="859.25409252669044"/>
    <n v="461252"/>
    <n v="0.61830026809651473"/>
    <x v="0"/>
    <n v="746000"/>
  </r>
  <r>
    <s v="Panchagarh"/>
    <s v="PAN"/>
    <x v="6"/>
    <n v="1984"/>
    <s v="পঞ্চগড় জেলা"/>
    <n v="1405"/>
    <n v="859.25409252669044"/>
    <n v="461252"/>
    <n v="0.61830026809651473"/>
    <x v="1"/>
    <n v="874428"/>
  </r>
  <r>
    <s v="Panchagarh"/>
    <s v="PAN"/>
    <x v="6"/>
    <n v="1984"/>
    <s v="পঞ্চগড় জেলা"/>
    <n v="1405"/>
    <n v="859.25409252669044"/>
    <n v="461252"/>
    <n v="0.61830026809651473"/>
    <x v="2"/>
    <n v="1026139"/>
  </r>
  <r>
    <s v="Panchagarh"/>
    <s v="PAN"/>
    <x v="6"/>
    <n v="1984"/>
    <s v="পঞ্চগড় জেলা"/>
    <n v="1405"/>
    <n v="859.25409252669044"/>
    <n v="461252"/>
    <n v="0.61830026809651473"/>
    <x v="3"/>
    <n v="1207252"/>
  </r>
  <r>
    <s v="Rangpur"/>
    <s v="RGP"/>
    <x v="6"/>
    <n v="1772"/>
    <s v="রংপুর জেলা"/>
    <n v="2401"/>
    <n v="1350.7900874635568"/>
    <n v="972247"/>
    <n v="0.42811404667547337"/>
    <x v="0"/>
    <n v="2271000"/>
  </r>
  <r>
    <s v="Rangpur"/>
    <s v="RGP"/>
    <x v="6"/>
    <n v="1772"/>
    <s v="রংপুর জেলা"/>
    <n v="2401"/>
    <n v="1350.7900874635568"/>
    <n v="972247"/>
    <n v="0.42811404667547337"/>
    <x v="1"/>
    <n v="2660727"/>
  </r>
  <r>
    <s v="Rangpur"/>
    <s v="RGP"/>
    <x v="6"/>
    <n v="1772"/>
    <s v="রংপুর জেলা"/>
    <n v="2401"/>
    <n v="1350.7900874635568"/>
    <n v="972247"/>
    <n v="0.42811404667547337"/>
    <x v="2"/>
    <n v="2996334"/>
  </r>
  <r>
    <s v="Rangpur"/>
    <s v="RGP"/>
    <x v="6"/>
    <n v="1772"/>
    <s v="রংপুর জেলা"/>
    <n v="2401"/>
    <n v="1350.7900874635568"/>
    <n v="972247"/>
    <n v="0.42811404667547337"/>
    <x v="3"/>
    <n v="3243247"/>
  </r>
  <r>
    <s v="Thakurgaon"/>
    <s v="THA"/>
    <x v="6"/>
    <n v="1984"/>
    <s v="ঠাকুরগাঁও জেলা"/>
    <n v="1782"/>
    <n v="880.76823793490462"/>
    <n v="510529"/>
    <n v="0.4820859301227573"/>
    <x v="0"/>
    <n v="1059000"/>
  </r>
  <r>
    <s v="Thakurgaon"/>
    <s v="THA"/>
    <x v="6"/>
    <n v="1984"/>
    <s v="ঠাকুরগাঁও জেলা"/>
    <n v="1782"/>
    <n v="880.76823793490462"/>
    <n v="510529"/>
    <n v="0.4820859301227573"/>
    <x v="1"/>
    <n v="1270081"/>
  </r>
  <r>
    <s v="Thakurgaon"/>
    <s v="THA"/>
    <x v="6"/>
    <n v="1984"/>
    <s v="ঠাকুরগাঁও জেলা"/>
    <n v="1782"/>
    <n v="880.76823793490462"/>
    <n v="510529"/>
    <n v="0.4820859301227573"/>
    <x v="2"/>
    <n v="1444783"/>
  </r>
  <r>
    <s v="Thakurgaon"/>
    <s v="THA"/>
    <x v="6"/>
    <n v="1984"/>
    <s v="ঠাকুরগাঁও জেলা"/>
    <n v="1782"/>
    <n v="880.76823793490462"/>
    <n v="510529"/>
    <n v="0.4820859301227573"/>
    <x v="3"/>
    <n v="1569529"/>
  </r>
  <r>
    <s v="Habiganj"/>
    <s v="HAB"/>
    <x v="7"/>
    <n v="1984"/>
    <s v="হবিগঞ্জ জেলা"/>
    <n v="2637"/>
    <n v="925.35115661736825"/>
    <n v="828151"/>
    <n v="0.51374131513647647"/>
    <x v="0"/>
    <n v="1612000"/>
  </r>
  <r>
    <s v="Habiganj"/>
    <s v="HAB"/>
    <x v="7"/>
    <n v="1984"/>
    <s v="হবিগঞ্জ জেলা"/>
    <n v="2637"/>
    <n v="925.35115661736825"/>
    <n v="828151"/>
    <n v="0.51374131513647647"/>
    <x v="1"/>
    <n v="1838683"/>
  </r>
  <r>
    <s v="Habiganj"/>
    <s v="HAB"/>
    <x v="7"/>
    <n v="1984"/>
    <s v="হবিগঞ্জ জেলা"/>
    <n v="2637"/>
    <n v="925.35115661736825"/>
    <n v="828151"/>
    <n v="0.51374131513647647"/>
    <x v="2"/>
    <n v="2171065"/>
  </r>
  <r>
    <s v="Habiganj"/>
    <s v="HAB"/>
    <x v="7"/>
    <n v="1984"/>
    <s v="হবিগঞ্জ জেলা"/>
    <n v="2637"/>
    <n v="925.35115661736825"/>
    <n v="828151"/>
    <n v="0.51374131513647647"/>
    <x v="3"/>
    <n v="2440151"/>
  </r>
  <r>
    <s v="Moulvibazar"/>
    <s v="MAU"/>
    <x v="7"/>
    <n v="1984"/>
    <s v="মৌলভীবাজার জেলা"/>
    <n v="2799"/>
    <n v="784.7806359414077"/>
    <n v="742601"/>
    <n v="0.51072971114167809"/>
    <x v="0"/>
    <n v="1454000"/>
  </r>
  <r>
    <s v="Moulvibazar"/>
    <s v="MAU"/>
    <x v="7"/>
    <n v="1984"/>
    <s v="মৌলভীবাজার জেলা"/>
    <n v="2799"/>
    <n v="784.7806359414077"/>
    <n v="742601"/>
    <n v="0.51072971114167809"/>
    <x v="1"/>
    <n v="1686631"/>
  </r>
  <r>
    <s v="Moulvibazar"/>
    <s v="MAU"/>
    <x v="7"/>
    <n v="1984"/>
    <s v="মৌলভীবাজার জেলা"/>
    <n v="2799"/>
    <n v="784.7806359414077"/>
    <n v="742601"/>
    <n v="0.51072971114167809"/>
    <x v="2"/>
    <n v="1994252"/>
  </r>
  <r>
    <s v="Moulvibazar"/>
    <s v="MAU"/>
    <x v="7"/>
    <n v="1984"/>
    <s v="মৌলভীবাজার জেলা"/>
    <n v="2799"/>
    <n v="784.7806359414077"/>
    <n v="742601"/>
    <n v="0.51072971114167809"/>
    <x v="3"/>
    <n v="2196601"/>
  </r>
  <r>
    <s v="Sunamganj"/>
    <s v="SUN"/>
    <x v="7"/>
    <n v="1984"/>
    <s v="সুনামগঞ্জ জেলা"/>
    <n v="3747"/>
    <n v="744.15745930077401"/>
    <n v="986358"/>
    <n v="0.54736847946725864"/>
    <x v="0"/>
    <n v="1802000"/>
  </r>
  <r>
    <s v="Sunamganj"/>
    <s v="SUN"/>
    <x v="7"/>
    <n v="1984"/>
    <s v="সুনামগঞ্জ জেলা"/>
    <n v="3747"/>
    <n v="744.15745930077401"/>
    <n v="986358"/>
    <n v="0.54736847946725864"/>
    <x v="1"/>
    <n v="2107281"/>
  </r>
  <r>
    <s v="Sunamganj"/>
    <s v="SUN"/>
    <x v="7"/>
    <n v="1984"/>
    <s v="সুনামগঞ্জ জেলা"/>
    <n v="3747"/>
    <n v="744.15745930077401"/>
    <n v="986358"/>
    <n v="0.54736847946725864"/>
    <x v="2"/>
    <n v="2564540"/>
  </r>
  <r>
    <s v="Sunamganj"/>
    <s v="SUN"/>
    <x v="7"/>
    <n v="1984"/>
    <s v="সুনামগঞ্জ জেলা"/>
    <n v="3747"/>
    <n v="744.15745930077401"/>
    <n v="986358"/>
    <n v="0.54736847946725864"/>
    <x v="3"/>
    <n v="2788358"/>
  </r>
  <r>
    <s v="Sylhet"/>
    <s v="SYL"/>
    <x v="7"/>
    <n v="1782"/>
    <s v="সিলেট জেলা"/>
    <n v="3452"/>
    <n v="1155.8525492468134"/>
    <n v="1708003"/>
    <n v="0.74846757230499561"/>
    <x v="0"/>
    <n v="2282000"/>
  </r>
  <r>
    <s v="Sylhet"/>
    <s v="SYL"/>
    <x v="7"/>
    <n v="1782"/>
    <s v="সিলেট জেলা"/>
    <n v="3452"/>
    <n v="1155.8525492468134"/>
    <n v="1708003"/>
    <n v="0.74846757230499561"/>
    <x v="1"/>
    <n v="2675346"/>
  </r>
  <r>
    <s v="Sylhet"/>
    <s v="SYL"/>
    <x v="7"/>
    <n v="1782"/>
    <s v="সিলেট জেলা"/>
    <n v="3452"/>
    <n v="1155.8525492468134"/>
    <n v="1708003"/>
    <n v="0.74846757230499561"/>
    <x v="2"/>
    <n v="3567139"/>
  </r>
  <r>
    <s v="Sylhet"/>
    <s v="SYL"/>
    <x v="7"/>
    <n v="1782"/>
    <s v="সিলেট জেলা"/>
    <n v="3452"/>
    <n v="1155.8525492468134"/>
    <n v="1708003"/>
    <n v="0.74846757230499561"/>
    <x v="3"/>
    <n v="399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0CF3B-8DFF-48AB-9ED5-7E7A97604B8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Name">
  <location ref="A3:B16" firstHeaderRow="1" firstDataRow="1" firstDataCol="1"/>
  <pivotFields count="13">
    <pivotField axis="axisRow" showAll="0" sortType="descending">
      <items count="65">
        <item x="34"/>
        <item x="6"/>
        <item x="0"/>
        <item x="1"/>
        <item x="2"/>
        <item x="44"/>
        <item x="7"/>
        <item x="8"/>
        <item x="45"/>
        <item x="9"/>
        <item x="35"/>
        <item x="10"/>
        <item x="11"/>
        <item x="17"/>
        <item x="52"/>
        <item x="18"/>
        <item x="12"/>
        <item x="53"/>
        <item x="19"/>
        <item x="20"/>
        <item x="60"/>
        <item x="46"/>
        <item x="30"/>
        <item x="36"/>
        <item x="3"/>
        <item x="37"/>
        <item x="13"/>
        <item x="38"/>
        <item x="21"/>
        <item x="54"/>
        <item x="39"/>
        <item x="14"/>
        <item x="55"/>
        <item x="22"/>
        <item x="40"/>
        <item x="23"/>
        <item x="41"/>
        <item x="61"/>
        <item x="24"/>
        <item x="31"/>
        <item x="47"/>
        <item x="42"/>
        <item x="25"/>
        <item x="26"/>
        <item x="48"/>
        <item x="32"/>
        <item x="56"/>
        <item x="15"/>
        <item x="49"/>
        <item x="57"/>
        <item x="4"/>
        <item x="5"/>
        <item x="27"/>
        <item x="50"/>
        <item x="16"/>
        <item x="58"/>
        <item x="43"/>
        <item x="28"/>
        <item x="33"/>
        <item x="51"/>
        <item x="62"/>
        <item x="63"/>
        <item x="29"/>
        <item x="59"/>
        <item t="default"/>
      </items>
      <autoSortScope>
        <pivotArea dataOnly="0" outline="0" fieldPosition="0">
          <references count="1">
            <reference field="4294967294" count="1" selected="0">
              <x v="0"/>
            </reference>
          </references>
        </pivotArea>
      </autoSortScope>
    </pivotField>
    <pivotField showAll="0"/>
    <pivotField showAll="0">
      <items count="9">
        <item h="1" x="0"/>
        <item h="1" x="1"/>
        <item x="2"/>
        <item h="1" x="4"/>
        <item h="1" x="3"/>
        <item h="1" x="5"/>
        <item h="1" x="6"/>
        <item h="1" x="7"/>
        <item t="default"/>
      </items>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13">
    <i>
      <x v="13"/>
    </i>
    <i>
      <x v="18"/>
    </i>
    <i>
      <x v="62"/>
    </i>
    <i>
      <x v="42"/>
    </i>
    <i>
      <x v="28"/>
    </i>
    <i>
      <x v="43"/>
    </i>
    <i>
      <x v="15"/>
    </i>
    <i>
      <x v="38"/>
    </i>
    <i>
      <x v="35"/>
    </i>
    <i>
      <x v="19"/>
    </i>
    <i>
      <x v="57"/>
    </i>
    <i>
      <x v="33"/>
    </i>
    <i>
      <x v="52"/>
    </i>
  </rowItems>
  <colItems count="1">
    <i/>
  </colItems>
  <dataFields count="1">
    <dataField name="Top 10 Most Populous Districts (2022)" fld="9" baseField="0" baseItem="5"/>
  </dataFields>
  <chartFormats count="11">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61"/>
          </reference>
        </references>
      </pivotArea>
    </chartFormat>
    <chartFormat chart="7" format="22">
      <pivotArea type="data" outline="0" fieldPosition="0">
        <references count="2">
          <reference field="4294967294" count="1" selected="0">
            <x v="0"/>
          </reference>
          <reference field="0" count="1" selected="0">
            <x v="60"/>
          </reference>
        </references>
      </pivotArea>
    </chartFormat>
    <chartFormat chart="7" format="23">
      <pivotArea type="data" outline="0" fieldPosition="0">
        <references count="2">
          <reference field="4294967294" count="1" selected="0">
            <x v="0"/>
          </reference>
          <reference field="0" count="1" selected="0">
            <x v="20"/>
          </reference>
        </references>
      </pivotArea>
    </chartFormat>
    <chartFormat chart="7" format="24">
      <pivotArea type="data" outline="0" fieldPosition="0">
        <references count="2">
          <reference field="4294967294" count="1" selected="0">
            <x v="0"/>
          </reference>
          <reference field="0" count="1" selected="0">
            <x v="37"/>
          </reference>
        </references>
      </pivotArea>
    </chartFormat>
    <chartFormat chart="7" format="25">
      <pivotArea type="data" outline="0" fieldPosition="0">
        <references count="2">
          <reference field="4294967294" count="1" selected="0">
            <x v="0"/>
          </reference>
          <reference field="0" count="1" selected="0">
            <x v="3"/>
          </reference>
        </references>
      </pivotArea>
    </chartFormat>
    <chartFormat chart="7" format="26">
      <pivotArea type="data" outline="0" fieldPosition="0">
        <references count="2">
          <reference field="4294967294" count="1" selected="0">
            <x v="0"/>
          </reference>
          <reference field="0" count="1" selected="0">
            <x v="4"/>
          </reference>
        </references>
      </pivotArea>
    </chartFormat>
    <chartFormat chart="7" format="27">
      <pivotArea type="data" outline="0" fieldPosition="0">
        <references count="2">
          <reference field="4294967294" count="1" selected="0">
            <x v="0"/>
          </reference>
          <reference field="0" count="1" selected="0">
            <x v="50"/>
          </reference>
        </references>
      </pivotArea>
    </chartFormat>
    <chartFormat chart="7" format="28">
      <pivotArea type="data" outline="0" fieldPosition="0">
        <references count="2">
          <reference field="4294967294" count="1" selected="0">
            <x v="0"/>
          </reference>
          <reference field="0" count="1" selected="0">
            <x v="51"/>
          </reference>
        </references>
      </pivotArea>
    </chartFormat>
    <chartFormat chart="7" format="29">
      <pivotArea type="data" outline="0" fieldPosition="0">
        <references count="2">
          <reference field="4294967294" count="1" selected="0">
            <x v="0"/>
          </reference>
          <reference field="0" count="1" selected="0">
            <x v="2"/>
          </reference>
        </references>
      </pivotArea>
    </chartFormat>
    <chartFormat chart="7" format="30">
      <pivotArea type="data" outline="0" fieldPosition="0">
        <references count="2">
          <reference field="4294967294" count="1" selected="0">
            <x v="0"/>
          </reference>
          <reference field="0"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71CDF-185C-438E-A1DE-AFC08325EB9D}"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J8" firstHeaderRow="1" firstDataRow="2" firstDataCol="1"/>
  <pivotFields count="11">
    <pivotField showAll="0"/>
    <pivotField showAll="0"/>
    <pivotField axis="axisCol" showAll="0">
      <items count="9">
        <item x="0"/>
        <item x="1"/>
        <item x="2"/>
        <item x="4"/>
        <item x="3"/>
        <item x="5"/>
        <item x="6"/>
        <item x="7"/>
        <item t="default"/>
      </items>
    </pivotField>
    <pivotField showAll="0"/>
    <pivotField showAll="0"/>
    <pivotField showAll="0"/>
    <pivotField showAll="0"/>
    <pivotField showAll="0"/>
    <pivotField showAll="0"/>
    <pivotField axis="axisRow" showAll="0">
      <items count="5">
        <item x="0"/>
        <item x="1"/>
        <item x="2"/>
        <item x="3"/>
        <item t="default"/>
      </items>
    </pivotField>
    <pivotField dataField="1" showAll="0"/>
  </pivotFields>
  <rowFields count="1">
    <field x="9"/>
  </rowFields>
  <rowItems count="4">
    <i>
      <x/>
    </i>
    <i>
      <x v="1"/>
    </i>
    <i>
      <x v="2"/>
    </i>
    <i>
      <x v="3"/>
    </i>
  </rowItems>
  <colFields count="1">
    <field x="2"/>
  </colFields>
  <colItems count="9">
    <i>
      <x/>
    </i>
    <i>
      <x v="1"/>
    </i>
    <i>
      <x v="2"/>
    </i>
    <i>
      <x v="3"/>
    </i>
    <i>
      <x v="4"/>
    </i>
    <i>
      <x v="5"/>
    </i>
    <i>
      <x v="6"/>
    </i>
    <i>
      <x v="7"/>
    </i>
    <i t="grand">
      <x/>
    </i>
  </colItems>
  <dataFields count="1">
    <dataField name="Population Trend by Division (1991-2022)" fld="10" baseField="0" baseItem="0"/>
  </dataFields>
  <chartFormats count="8">
    <chartFormat chart="9" format="24" series="1">
      <pivotArea type="data" outline="0" fieldPosition="0">
        <references count="2">
          <reference field="4294967294" count="1" selected="0">
            <x v="0"/>
          </reference>
          <reference field="2" count="1" selected="0">
            <x v="0"/>
          </reference>
        </references>
      </pivotArea>
    </chartFormat>
    <chartFormat chart="9" format="25" series="1">
      <pivotArea type="data" outline="0" fieldPosition="0">
        <references count="2">
          <reference field="4294967294" count="1" selected="0">
            <x v="0"/>
          </reference>
          <reference field="2" count="1" selected="0">
            <x v="1"/>
          </reference>
        </references>
      </pivotArea>
    </chartFormat>
    <chartFormat chart="9" format="26" series="1">
      <pivotArea type="data" outline="0" fieldPosition="0">
        <references count="2">
          <reference field="4294967294" count="1" selected="0">
            <x v="0"/>
          </reference>
          <reference field="2" count="1" selected="0">
            <x v="2"/>
          </reference>
        </references>
      </pivotArea>
    </chartFormat>
    <chartFormat chart="9" format="27" series="1">
      <pivotArea type="data" outline="0" fieldPosition="0">
        <references count="2">
          <reference field="4294967294" count="1" selected="0">
            <x v="0"/>
          </reference>
          <reference field="2" count="1" selected="0">
            <x v="3"/>
          </reference>
        </references>
      </pivotArea>
    </chartFormat>
    <chartFormat chart="9" format="28" series="1">
      <pivotArea type="data" outline="0" fieldPosition="0">
        <references count="2">
          <reference field="4294967294" count="1" selected="0">
            <x v="0"/>
          </reference>
          <reference field="2" count="1" selected="0">
            <x v="4"/>
          </reference>
        </references>
      </pivotArea>
    </chartFormat>
    <chartFormat chart="9" format="29" series="1">
      <pivotArea type="data" outline="0" fieldPosition="0">
        <references count="2">
          <reference field="4294967294" count="1" selected="0">
            <x v="0"/>
          </reference>
          <reference field="2" count="1" selected="0">
            <x v="5"/>
          </reference>
        </references>
      </pivotArea>
    </chartFormat>
    <chartFormat chart="9" format="30" series="1">
      <pivotArea type="data" outline="0" fieldPosition="0">
        <references count="2">
          <reference field="4294967294" count="1" selected="0">
            <x v="0"/>
          </reference>
          <reference field="2" count="1" selected="0">
            <x v="6"/>
          </reference>
        </references>
      </pivotArea>
    </chartFormat>
    <chartFormat chart="9" format="31"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C303A2-D5F2-4F58-A6D1-C1667B44C27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6" firstHeaderRow="1" firstDataRow="1" firstDataCol="1"/>
  <pivotFields count="13">
    <pivotField axis="axisRow" showAll="0" sortType="descending">
      <items count="65">
        <item x="34"/>
        <item x="6"/>
        <item x="0"/>
        <item x="1"/>
        <item x="2"/>
        <item x="44"/>
        <item x="7"/>
        <item x="8"/>
        <item x="45"/>
        <item x="9"/>
        <item x="35"/>
        <item x="10"/>
        <item x="11"/>
        <item x="17"/>
        <item x="52"/>
        <item x="18"/>
        <item x="12"/>
        <item x="53"/>
        <item x="19"/>
        <item x="20"/>
        <item x="60"/>
        <item x="46"/>
        <item x="30"/>
        <item x="36"/>
        <item x="3"/>
        <item x="37"/>
        <item x="13"/>
        <item x="38"/>
        <item x="21"/>
        <item x="54"/>
        <item x="39"/>
        <item x="14"/>
        <item x="55"/>
        <item x="22"/>
        <item x="40"/>
        <item x="23"/>
        <item x="41"/>
        <item x="61"/>
        <item x="24"/>
        <item x="31"/>
        <item x="47"/>
        <item x="42"/>
        <item x="25"/>
        <item x="26"/>
        <item x="48"/>
        <item x="32"/>
        <item x="56"/>
        <item x="15"/>
        <item x="49"/>
        <item x="57"/>
        <item x="4"/>
        <item x="5"/>
        <item x="27"/>
        <item x="50"/>
        <item x="16"/>
        <item x="58"/>
        <item x="43"/>
        <item x="28"/>
        <item x="33"/>
        <item x="51"/>
        <item x="62"/>
        <item x="63"/>
        <item x="29"/>
        <item x="59"/>
        <item t="default"/>
      </items>
      <autoSortScope>
        <pivotArea dataOnly="0" outline="0" fieldPosition="0">
          <references count="1">
            <reference field="4294967294" count="1" selected="0">
              <x v="0"/>
            </reference>
          </references>
        </pivotArea>
      </autoSortScope>
    </pivotField>
    <pivotField showAll="0"/>
    <pivotField showAll="0">
      <items count="9">
        <item h="1" x="0"/>
        <item h="1" x="1"/>
        <item x="2"/>
        <item h="1" x="4"/>
        <item h="1" x="3"/>
        <item h="1" x="5"/>
        <item h="1" x="6"/>
        <item h="1" x="7"/>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13">
    <i>
      <x v="13"/>
    </i>
    <i>
      <x v="42"/>
    </i>
    <i>
      <x v="18"/>
    </i>
    <i>
      <x v="43"/>
    </i>
    <i>
      <x v="38"/>
    </i>
    <i>
      <x v="28"/>
    </i>
    <i>
      <x v="62"/>
    </i>
    <i>
      <x v="33"/>
    </i>
    <i>
      <x v="35"/>
    </i>
    <i>
      <x v="57"/>
    </i>
    <i>
      <x v="52"/>
    </i>
    <i>
      <x v="15"/>
    </i>
    <i>
      <x v="19"/>
    </i>
  </rowItems>
  <colItems count="1">
    <i/>
  </colItems>
  <dataFields count="1">
    <dataField name="Average of Population_Density_2022" fld="10" subtotal="average" baseField="0"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5CE55A-E3F6-456D-B6A2-A4DA962820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7" firstHeaderRow="1" firstDataRow="1" firstDataCol="1"/>
  <pivotFields count="13">
    <pivotField axis="axisRow" showAll="0">
      <items count="65">
        <item x="34"/>
        <item x="6"/>
        <item x="0"/>
        <item x="1"/>
        <item x="2"/>
        <item x="44"/>
        <item x="7"/>
        <item x="8"/>
        <item x="45"/>
        <item x="9"/>
        <item x="35"/>
        <item x="10"/>
        <item x="11"/>
        <item x="17"/>
        <item x="52"/>
        <item x="18"/>
        <item x="12"/>
        <item x="53"/>
        <item x="19"/>
        <item x="20"/>
        <item x="60"/>
        <item x="46"/>
        <item x="30"/>
        <item x="36"/>
        <item x="3"/>
        <item x="37"/>
        <item x="13"/>
        <item x="38"/>
        <item x="21"/>
        <item x="54"/>
        <item x="39"/>
        <item x="14"/>
        <item x="55"/>
        <item x="22"/>
        <item x="40"/>
        <item x="23"/>
        <item x="41"/>
        <item x="61"/>
        <item x="24"/>
        <item x="31"/>
        <item x="47"/>
        <item x="42"/>
        <item x="25"/>
        <item x="26"/>
        <item x="48"/>
        <item x="32"/>
        <item x="56"/>
        <item x="15"/>
        <item x="49"/>
        <item x="57"/>
        <item x="4"/>
        <item x="5"/>
        <item x="27"/>
        <item x="50"/>
        <item x="16"/>
        <item x="58"/>
        <item x="43"/>
        <item x="28"/>
        <item x="33"/>
        <item x="51"/>
        <item x="62"/>
        <item x="63"/>
        <item x="29"/>
        <item x="59"/>
        <item t="default"/>
      </items>
    </pivotField>
    <pivotField showAll="0">
      <items count="65">
        <item x="62"/>
        <item x="43"/>
        <item x="34"/>
        <item x="6"/>
        <item x="7"/>
        <item x="2"/>
        <item x="44"/>
        <item x="0"/>
        <item x="1"/>
        <item x="8"/>
        <item x="9"/>
        <item x="35"/>
        <item x="10"/>
        <item x="11"/>
        <item x="17"/>
        <item x="52"/>
        <item x="18"/>
        <item x="12"/>
        <item x="53"/>
        <item x="19"/>
        <item x="20"/>
        <item x="60"/>
        <item x="46"/>
        <item x="30"/>
        <item x="36"/>
        <item x="3"/>
        <item x="37"/>
        <item x="13"/>
        <item x="38"/>
        <item x="21"/>
        <item x="54"/>
        <item x="39"/>
        <item x="14"/>
        <item x="55"/>
        <item x="22"/>
        <item x="40"/>
        <item x="23"/>
        <item x="61"/>
        <item x="41"/>
        <item x="24"/>
        <item x="31"/>
        <item x="47"/>
        <item x="48"/>
        <item x="45"/>
        <item x="32"/>
        <item x="56"/>
        <item x="15"/>
        <item x="42"/>
        <item x="26"/>
        <item x="25"/>
        <item x="49"/>
        <item x="57"/>
        <item x="4"/>
        <item x="5"/>
        <item x="16"/>
        <item x="58"/>
        <item x="27"/>
        <item x="50"/>
        <item x="28"/>
        <item x="33"/>
        <item x="51"/>
        <item x="63"/>
        <item x="29"/>
        <item x="59"/>
        <item t="default"/>
      </items>
    </pivotField>
    <pivotField showAll="0">
      <items count="9">
        <item h="1" x="0"/>
        <item h="1" x="1"/>
        <item x="2"/>
        <item h="1" x="4"/>
        <item h="1" x="3"/>
        <item h="1" x="5"/>
        <item h="1" x="6"/>
        <item h="1" x="7"/>
        <item t="default"/>
      </items>
    </pivotField>
    <pivotField showAll="0"/>
    <pivotField showAll="0"/>
    <pivotField dataField="1" showAll="0"/>
    <pivotField showAll="0"/>
    <pivotField showAll="0"/>
    <pivotField showAll="0"/>
    <pivotField showAll="0"/>
    <pivotField showAll="0"/>
    <pivotField showAll="0"/>
    <pivotField showAll="0"/>
  </pivotFields>
  <rowFields count="1">
    <field x="0"/>
  </rowFields>
  <rowItems count="14">
    <i>
      <x v="13"/>
    </i>
    <i>
      <x v="15"/>
    </i>
    <i>
      <x v="18"/>
    </i>
    <i>
      <x v="19"/>
    </i>
    <i>
      <x v="28"/>
    </i>
    <i>
      <x v="33"/>
    </i>
    <i>
      <x v="35"/>
    </i>
    <i>
      <x v="38"/>
    </i>
    <i>
      <x v="42"/>
    </i>
    <i>
      <x v="43"/>
    </i>
    <i>
      <x v="52"/>
    </i>
    <i>
      <x v="57"/>
    </i>
    <i>
      <x v="62"/>
    </i>
    <i t="grand">
      <x/>
    </i>
  </rowItems>
  <colItems count="1">
    <i/>
  </colItems>
  <dataFields count="1">
    <dataField name="Sum of Area_km2" fld="5" baseField="0" baseItem="0"/>
  </dataFields>
  <chartFormats count="3">
    <chartFormat chart="4" format="24"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14"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AFB397-2755-46C8-A081-AF41B3E4CA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8" firstHeaderRow="1" firstDataRow="1" firstDataCol="1"/>
  <pivotFields count="13">
    <pivotField axis="axisRow" showAll="0">
      <items count="65">
        <item x="34"/>
        <item x="6"/>
        <item x="0"/>
        <item x="1"/>
        <item x="2"/>
        <item x="44"/>
        <item x="7"/>
        <item x="8"/>
        <item x="45"/>
        <item x="9"/>
        <item x="35"/>
        <item x="10"/>
        <item x="11"/>
        <item x="17"/>
        <item x="52"/>
        <item x="18"/>
        <item x="12"/>
        <item x="53"/>
        <item x="19"/>
        <item x="20"/>
        <item x="60"/>
        <item x="46"/>
        <item x="30"/>
        <item x="36"/>
        <item x="3"/>
        <item x="37"/>
        <item x="13"/>
        <item x="38"/>
        <item x="21"/>
        <item x="54"/>
        <item x="39"/>
        <item x="14"/>
        <item x="55"/>
        <item x="22"/>
        <item x="40"/>
        <item x="23"/>
        <item x="41"/>
        <item x="61"/>
        <item x="24"/>
        <item x="31"/>
        <item x="47"/>
        <item x="42"/>
        <item x="25"/>
        <item x="26"/>
        <item x="48"/>
        <item x="32"/>
        <item x="56"/>
        <item x="15"/>
        <item x="49"/>
        <item x="57"/>
        <item x="4"/>
        <item x="5"/>
        <item x="27"/>
        <item x="50"/>
        <item x="16"/>
        <item x="58"/>
        <item x="43"/>
        <item x="28"/>
        <item x="33"/>
        <item x="51"/>
        <item x="62"/>
        <item x="63"/>
        <item x="29"/>
        <item x="5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Area_km2"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2AE52D-C017-47D9-8CC6-74EF71A36EE0}" autoFormatId="16" applyNumberFormats="0" applyBorderFormats="0" applyFontFormats="0" applyPatternFormats="0" applyAlignmentFormats="0" applyWidthHeightFormats="0">
  <queryTableRefresh nextId="14" unboundColumnsRight="3">
    <queryTableFields count="13">
      <queryTableField id="1" name="Name" tableColumnId="1"/>
      <queryTableField id="2" name="Abbr." tableColumnId="2"/>
      <queryTableField id="3" name="Division" tableColumnId="3"/>
      <queryTableField id="4" name="Established" tableColumnId="4"/>
      <queryTableField id="5" name="Native" tableColumnId="5"/>
      <queryTableField id="6" name="Area (km2)" tableColumnId="6"/>
      <queryTableField id="7" name="Population_1991" tableColumnId="7"/>
      <queryTableField id="8" name="Population_2001" tableColumnId="8"/>
      <queryTableField id="9" name="Population_2011" tableColumnId="9"/>
      <queryTableField id="10" name="Population_2022"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D451E8B-37A6-467B-8BA6-CFF0151ACA8C}" autoFormatId="16" applyNumberFormats="0" applyBorderFormats="0" applyFontFormats="0" applyPatternFormats="0" applyAlignmentFormats="0" applyWidthHeightFormats="0">
  <queryTableRefresh nextId="12">
    <queryTableFields count="11">
      <queryTableField id="1" name="Name" tableColumnId="1"/>
      <queryTableField id="2" name="Abbr." tableColumnId="2"/>
      <queryTableField id="3" name="Division" tableColumnId="3"/>
      <queryTableField id="4" name="Established" tableColumnId="4"/>
      <queryTableField id="5" name="Native" tableColumnId="5"/>
      <queryTableField id="6" name="Area_km2" tableColumnId="6"/>
      <queryTableField id="7" name="Population_Density_2022" tableColumnId="7"/>
      <queryTableField id="8" name="Population_Growth_Abs" tableColumnId="8"/>
      <queryTableField id="9" name="Population_Growth_Pct" tableColumnId="9"/>
      <queryTableField id="10" name="Year" tableColumnId="10"/>
      <queryTableField id="11" name="Popula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8EC7EF2F-D3E3-4CBB-8080-CF16EE37E3D9}" sourceName="Division">
  <pivotTables>
    <pivotTable tabId="3" name="PivotTable1"/>
    <pivotTable tabId="10" name="PivotTable1"/>
    <pivotTable tabId="8" name="PivotTable3"/>
  </pivotTables>
  <data>
    <tabular pivotCacheId="319483034">
      <items count="8">
        <i x="0"/>
        <i x="1"/>
        <i x="2" s="1"/>
        <i x="4"/>
        <i x="3"/>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1" xr10:uid="{468175F8-9D80-4B12-8176-E63E261DD19A}" cache="Slicer_Division" caption="Division"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3C6C03-5E97-4B00-BB70-10BBEFE6C6E7}" name="city_population" displayName="city_population" ref="A1:M65" tableType="queryTable" totalsRowShown="0" headerRowDxfId="14" dataDxfId="13">
  <autoFilter ref="A1:M65" xr:uid="{033C6C03-5E97-4B00-BB70-10BBEFE6C6E7}"/>
  <tableColumns count="13">
    <tableColumn id="1" xr3:uid="{A8310A35-2EC9-42CE-B5F0-20B646A0B5E0}" uniqueName="1" name="Name" queryTableFieldId="1" dataDxfId="12"/>
    <tableColumn id="2" xr3:uid="{BE43744E-FF29-48B3-A9EE-D657529981CA}" uniqueName="2" name="Abbr." queryTableFieldId="2" dataDxfId="11"/>
    <tableColumn id="3" xr3:uid="{4C778B80-4A52-4DD5-B2E0-64EFB12B8FFD}" uniqueName="3" name="Division" queryTableFieldId="3" dataDxfId="10"/>
    <tableColumn id="4" xr3:uid="{1F27B354-6796-494A-B4B1-89892A3FC208}" uniqueName="4" name="Established" queryTableFieldId="4" dataDxfId="9"/>
    <tableColumn id="5" xr3:uid="{3AC03791-1F0B-4233-A139-BEE54383E03C}" uniqueName="5" name="Native" queryTableFieldId="5" dataDxfId="8"/>
    <tableColumn id="6" xr3:uid="{4CA13944-1B59-42C5-9ECC-37E9E44C1708}" uniqueName="6" name="Area_km2" queryTableFieldId="6" dataDxfId="7"/>
    <tableColumn id="7" xr3:uid="{D2E98B21-9F73-4142-923B-E2777F2E8C5B}" uniqueName="7" name="Population_1991" queryTableFieldId="7" dataDxfId="6"/>
    <tableColumn id="8" xr3:uid="{50285DF7-2196-4AFA-81AF-B5E27075B4DF}" uniqueName="8" name="Population_2001" queryTableFieldId="8" dataDxfId="5"/>
    <tableColumn id="9" xr3:uid="{B8B8770D-7864-4172-80C6-8822B15235A5}" uniqueName="9" name="Population_2011" queryTableFieldId="9" dataDxfId="4"/>
    <tableColumn id="10" xr3:uid="{DC4457C4-7CF4-4897-8C28-428DC9FB19BB}" uniqueName="10" name="Population_2022" queryTableFieldId="10" dataDxfId="3"/>
    <tableColumn id="11" xr3:uid="{F5E36FB0-D739-4541-8077-389F6FC8112A}" uniqueName="11" name="Population_Density_2022" queryTableFieldId="11" dataDxfId="2">
      <calculatedColumnFormula>city_population[[#This Row],[Population_2022]] / city_population[[#This Row],[Area_km2]]</calculatedColumnFormula>
    </tableColumn>
    <tableColumn id="12" xr3:uid="{B06E81D6-1473-470C-8620-BEB0E32C888D}" uniqueName="12" name="Population_Growth_Abs" queryTableFieldId="12" dataDxfId="1">
      <calculatedColumnFormula>city_population[[#This Row],[Population_2022]] - city_population[[#This Row],[Population_1991]]</calculatedColumnFormula>
    </tableColumn>
    <tableColumn id="13" xr3:uid="{C4B53EEB-CBE0-4978-B81B-F744A4035393}" uniqueName="13" name="Population_Growth_Pct" queryTableFieldId="13" dataDxfId="0">
      <calculatedColumnFormula>city_population[[#This Row],[Population_Growth_Abs]] / city_population[[#This Row],[Population_1991]]</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0E4E5B-71CD-442F-B125-F0D497F29F1C}" name="city_population__2" displayName="city_population__2" ref="A1:K257" tableType="queryTable" totalsRowShown="0">
  <autoFilter ref="A1:K257" xr:uid="{DF0E4E5B-71CD-442F-B125-F0D497F29F1C}"/>
  <tableColumns count="11">
    <tableColumn id="1" xr3:uid="{6C9958BE-74B2-4DBF-B997-2A5D758AC7EF}" uniqueName="1" name="Name" queryTableFieldId="1" dataDxfId="19"/>
    <tableColumn id="2" xr3:uid="{774D756B-4F05-4B15-B360-CBF6E0CC3B5C}" uniqueName="2" name="Abbr." queryTableFieldId="2" dataDxfId="18"/>
    <tableColumn id="3" xr3:uid="{C73200D6-B8EB-48E5-9627-630090F4E556}" uniqueName="3" name="Division" queryTableFieldId="3" dataDxfId="17"/>
    <tableColumn id="4" xr3:uid="{CAB1DD61-3C41-4BD6-9E4B-05CADA56E88C}" uniqueName="4" name="Established" queryTableFieldId="4"/>
    <tableColumn id="5" xr3:uid="{9B1476E4-EE3D-4726-A583-600CF6AA7120}" uniqueName="5" name="Native" queryTableFieldId="5" dataDxfId="16"/>
    <tableColumn id="6" xr3:uid="{FE208675-D575-4A7C-B3D2-E3B29074D307}" uniqueName="6" name="Area_km2" queryTableFieldId="6"/>
    <tableColumn id="7" xr3:uid="{3373BD5A-1D82-4493-ADED-620B3A529485}" uniqueName="7" name="Population_Density_2022" queryTableFieldId="7"/>
    <tableColumn id="8" xr3:uid="{4B6E53A8-4E3B-4E90-9630-08BD1454C93C}" uniqueName="8" name="Population_Growth_Abs" queryTableFieldId="8"/>
    <tableColumn id="9" xr3:uid="{D516305B-31E4-4E1F-990C-7A7933E69368}" uniqueName="9" name="Population_Growth_Pct" queryTableFieldId="9"/>
    <tableColumn id="10" xr3:uid="{B25160B6-237A-485C-A93C-9BE26D84649F}" uniqueName="10" name="Year" queryTableFieldId="10" dataDxfId="15"/>
    <tableColumn id="11" xr3:uid="{5E0C3F38-78FD-483F-B66E-042A57F851F9}" uniqueName="11" name="Population"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45A-4BC9-B163-464D67BECBE7}">
  <sheetPr codeName="Sheet6"/>
  <dimension ref="A1:M65"/>
  <sheetViews>
    <sheetView workbookViewId="0">
      <pane ySplit="1" topLeftCell="A2" activePane="bottomLeft" state="frozen"/>
      <selection pane="bottomLeft" activeCell="F6" sqref="F6"/>
    </sheetView>
  </sheetViews>
  <sheetFormatPr defaultRowHeight="15" x14ac:dyDescent="0.25"/>
  <cols>
    <col min="1" max="1" width="18.140625" style="2" bestFit="1" customWidth="1"/>
    <col min="2" max="2" width="12.5703125" style="2" bestFit="1" customWidth="1"/>
    <col min="3" max="3" width="15.7109375" style="2" bestFit="1" customWidth="1"/>
    <col min="4" max="4" width="20.7109375" style="2" bestFit="1" customWidth="1"/>
    <col min="5" max="5" width="20.42578125" style="2" bestFit="1" customWidth="1"/>
    <col min="6" max="6" width="19.42578125" style="2" bestFit="1" customWidth="1"/>
    <col min="7" max="10" width="27.28515625" style="2" bestFit="1" customWidth="1"/>
    <col min="11" max="11" width="38.28515625" style="2" bestFit="1" customWidth="1"/>
    <col min="12" max="12" width="36.28515625" style="2" bestFit="1" customWidth="1"/>
    <col min="13" max="13" width="35.5703125" style="2" bestFit="1" customWidth="1"/>
    <col min="14" max="16384" width="9.140625" style="2"/>
  </cols>
  <sheetData>
    <row r="1" spans="1:13" s="3" customFormat="1" ht="24" customHeight="1" x14ac:dyDescent="0.25">
      <c r="A1" s="3" t="s">
        <v>0</v>
      </c>
      <c r="B1" s="3" t="s">
        <v>1</v>
      </c>
      <c r="C1" s="3" t="s">
        <v>2</v>
      </c>
      <c r="D1" s="3" t="s">
        <v>3</v>
      </c>
      <c r="E1" s="3" t="s">
        <v>4</v>
      </c>
      <c r="F1" s="3" t="s">
        <v>202</v>
      </c>
      <c r="G1" s="3" t="s">
        <v>5</v>
      </c>
      <c r="H1" s="3" t="s">
        <v>6</v>
      </c>
      <c r="I1" s="3" t="s">
        <v>7</v>
      </c>
      <c r="J1" s="3" t="s">
        <v>8</v>
      </c>
      <c r="K1" s="3" t="s">
        <v>203</v>
      </c>
      <c r="L1" s="3" t="s">
        <v>204</v>
      </c>
      <c r="M1" s="3" t="s">
        <v>205</v>
      </c>
    </row>
    <row r="2" spans="1:13" x14ac:dyDescent="0.25">
      <c r="A2" s="2" t="s">
        <v>9</v>
      </c>
      <c r="B2" s="1" t="s">
        <v>10</v>
      </c>
      <c r="C2" s="1" t="s">
        <v>11</v>
      </c>
      <c r="D2" s="1">
        <v>1984</v>
      </c>
      <c r="E2" s="2" t="s">
        <v>12</v>
      </c>
      <c r="F2" s="1">
        <v>1831</v>
      </c>
      <c r="G2" s="1">
        <v>805000</v>
      </c>
      <c r="H2" s="1">
        <v>887376</v>
      </c>
      <c r="I2" s="1">
        <v>927889</v>
      </c>
      <c r="J2" s="1">
        <v>1035596</v>
      </c>
      <c r="K2" s="1">
        <f>city_population[[#This Row],[Population_2022]] / city_population[[#This Row],[Area_km2]]</f>
        <v>565.590387766248</v>
      </c>
      <c r="L2" s="1">
        <f>city_population[[#This Row],[Population_2022]] - city_population[[#This Row],[Population_1991]]</f>
        <v>230596</v>
      </c>
      <c r="M2" s="1">
        <f>city_population[[#This Row],[Population_Growth_Abs]] / city_population[[#This Row],[Population_1991]]</f>
        <v>0.28645465838509315</v>
      </c>
    </row>
    <row r="3" spans="1:13" x14ac:dyDescent="0.25">
      <c r="A3" s="2" t="s">
        <v>13</v>
      </c>
      <c r="B3" s="1" t="s">
        <v>14</v>
      </c>
      <c r="C3" s="1" t="s">
        <v>11</v>
      </c>
      <c r="D3" s="1">
        <v>1797</v>
      </c>
      <c r="E3" s="2" t="s">
        <v>15</v>
      </c>
      <c r="F3" s="1">
        <v>2785</v>
      </c>
      <c r="G3" s="1">
        <v>2299000</v>
      </c>
      <c r="H3" s="1">
        <v>2465249</v>
      </c>
      <c r="I3" s="1">
        <v>2414729</v>
      </c>
      <c r="J3" s="1">
        <v>2634203</v>
      </c>
      <c r="K3" s="1">
        <f>city_population[[#This Row],[Population_2022]] / city_population[[#This Row],[Area_km2]]</f>
        <v>945.85385996409332</v>
      </c>
      <c r="L3" s="1">
        <f>city_population[[#This Row],[Population_2022]] - city_population[[#This Row],[Population_1991]]</f>
        <v>335203</v>
      </c>
      <c r="M3" s="1">
        <f>city_population[[#This Row],[Population_Growth_Abs]] / city_population[[#This Row],[Population_1991]]</f>
        <v>0.14580382775119619</v>
      </c>
    </row>
    <row r="4" spans="1:13" x14ac:dyDescent="0.25">
      <c r="A4" s="2" t="s">
        <v>16</v>
      </c>
      <c r="B4" s="1" t="s">
        <v>17</v>
      </c>
      <c r="C4" s="1" t="s">
        <v>11</v>
      </c>
      <c r="D4" s="1">
        <v>1984</v>
      </c>
      <c r="E4" s="2" t="s">
        <v>18</v>
      </c>
      <c r="F4" s="1">
        <v>3403</v>
      </c>
      <c r="G4" s="1">
        <v>1532000</v>
      </c>
      <c r="H4" s="1">
        <v>1781043</v>
      </c>
      <c r="I4" s="1">
        <v>1846351</v>
      </c>
      <c r="J4" s="1">
        <v>1980452</v>
      </c>
      <c r="K4" s="1">
        <f>city_population[[#This Row],[Population_2022]] / city_population[[#This Row],[Area_km2]]</f>
        <v>581.97237731413463</v>
      </c>
      <c r="L4" s="1">
        <f>city_population[[#This Row],[Population_2022]] - city_population[[#This Row],[Population_1991]]</f>
        <v>448452</v>
      </c>
      <c r="M4" s="1">
        <f>city_population[[#This Row],[Population_Growth_Abs]] / city_population[[#This Row],[Population_1991]]</f>
        <v>0.29272323759791125</v>
      </c>
    </row>
    <row r="5" spans="1:13" x14ac:dyDescent="0.25">
      <c r="A5" s="2" t="s">
        <v>19</v>
      </c>
      <c r="B5" s="1" t="s">
        <v>20</v>
      </c>
      <c r="C5" s="1" t="s">
        <v>11</v>
      </c>
      <c r="D5" s="1">
        <v>1984</v>
      </c>
      <c r="E5" s="2" t="s">
        <v>21</v>
      </c>
      <c r="F5" s="1">
        <v>707</v>
      </c>
      <c r="G5" s="1">
        <v>694000</v>
      </c>
      <c r="H5" s="1">
        <v>726182</v>
      </c>
      <c r="I5" s="1">
        <v>709914</v>
      </c>
      <c r="J5" s="1">
        <v>677559</v>
      </c>
      <c r="K5" s="1">
        <f>city_population[[#This Row],[Population_2022]] / city_population[[#This Row],[Area_km2]]</f>
        <v>958.35785007072138</v>
      </c>
      <c r="L5" s="1">
        <f>city_population[[#This Row],[Population_2022]] - city_population[[#This Row],[Population_1991]]</f>
        <v>-16441</v>
      </c>
      <c r="M5" s="1">
        <f>city_population[[#This Row],[Population_Growth_Abs]] / city_population[[#This Row],[Population_1991]]</f>
        <v>-2.3690201729106627E-2</v>
      </c>
    </row>
    <row r="6" spans="1:13" x14ac:dyDescent="0.25">
      <c r="A6" s="2" t="s">
        <v>22</v>
      </c>
      <c r="B6" s="1" t="s">
        <v>23</v>
      </c>
      <c r="C6" s="1" t="s">
        <v>11</v>
      </c>
      <c r="D6" s="1">
        <v>1969</v>
      </c>
      <c r="E6" s="2" t="s">
        <v>24</v>
      </c>
      <c r="F6" s="1">
        <v>3221</v>
      </c>
      <c r="G6" s="1">
        <v>1323000</v>
      </c>
      <c r="H6" s="1">
        <v>1527628</v>
      </c>
      <c r="I6" s="1">
        <v>1596223</v>
      </c>
      <c r="J6" s="1">
        <v>1770096</v>
      </c>
      <c r="K6" s="1">
        <f>city_population[[#This Row],[Population_2022]] / city_population[[#This Row],[Area_km2]]</f>
        <v>549.54858739521887</v>
      </c>
      <c r="L6" s="1">
        <f>city_population[[#This Row],[Population_2022]] - city_population[[#This Row],[Population_1991]]</f>
        <v>447096</v>
      </c>
      <c r="M6" s="1">
        <f>city_population[[#This Row],[Population_Growth_Abs]] / city_population[[#This Row],[Population_1991]]</f>
        <v>0.33794104308390022</v>
      </c>
    </row>
    <row r="7" spans="1:13" x14ac:dyDescent="0.25">
      <c r="A7" s="2" t="s">
        <v>25</v>
      </c>
      <c r="B7" s="1" t="s">
        <v>26</v>
      </c>
      <c r="C7" s="1" t="s">
        <v>11</v>
      </c>
      <c r="D7" s="1">
        <v>1984</v>
      </c>
      <c r="E7" s="2" t="s">
        <v>27</v>
      </c>
      <c r="F7" s="1">
        <v>1278</v>
      </c>
      <c r="G7" s="1">
        <v>1104000</v>
      </c>
      <c r="H7" s="1">
        <v>1161548</v>
      </c>
      <c r="I7" s="1">
        <v>1157215</v>
      </c>
      <c r="J7" s="1">
        <v>1227915</v>
      </c>
      <c r="K7" s="1">
        <f>city_population[[#This Row],[Population_2022]] / city_population[[#This Row],[Area_km2]]</f>
        <v>960.80985915492954</v>
      </c>
      <c r="L7" s="1">
        <f>city_population[[#This Row],[Population_2022]] - city_population[[#This Row],[Population_1991]]</f>
        <v>123915</v>
      </c>
      <c r="M7" s="1">
        <f>city_population[[#This Row],[Population_Growth_Abs]] / city_population[[#This Row],[Population_1991]]</f>
        <v>0.11224184782608695</v>
      </c>
    </row>
    <row r="8" spans="1:13" x14ac:dyDescent="0.25">
      <c r="A8" s="2" t="s">
        <v>28</v>
      </c>
      <c r="B8" s="1" t="s">
        <v>29</v>
      </c>
      <c r="C8" s="1" t="s">
        <v>30</v>
      </c>
      <c r="D8" s="1">
        <v>1981</v>
      </c>
      <c r="E8" s="2" t="s">
        <v>31</v>
      </c>
      <c r="F8" s="1">
        <v>4496</v>
      </c>
      <c r="G8" s="1">
        <v>246000</v>
      </c>
      <c r="H8" s="1">
        <v>311741</v>
      </c>
      <c r="I8" s="1">
        <v>404091</v>
      </c>
      <c r="J8" s="1">
        <v>495252</v>
      </c>
      <c r="K8" s="1">
        <f>city_population[[#This Row],[Population_2022]] / city_population[[#This Row],[Area_km2]]</f>
        <v>110.15391459074733</v>
      </c>
      <c r="L8" s="1">
        <f>city_population[[#This Row],[Population_2022]] - city_population[[#This Row],[Population_1991]]</f>
        <v>249252</v>
      </c>
      <c r="M8" s="1">
        <f>city_population[[#This Row],[Population_Growth_Abs]] / city_population[[#This Row],[Population_1991]]</f>
        <v>1.013219512195122</v>
      </c>
    </row>
    <row r="9" spans="1:13" x14ac:dyDescent="0.25">
      <c r="A9" s="2" t="s">
        <v>32</v>
      </c>
      <c r="B9" s="1" t="s">
        <v>33</v>
      </c>
      <c r="C9" s="1" t="s">
        <v>30</v>
      </c>
      <c r="D9" s="1">
        <v>1984</v>
      </c>
      <c r="E9" s="2" t="s">
        <v>34</v>
      </c>
      <c r="F9" s="1">
        <v>1881</v>
      </c>
      <c r="G9" s="1">
        <v>2268000</v>
      </c>
      <c r="H9" s="1">
        <v>2509383</v>
      </c>
      <c r="I9" s="1">
        <v>2953208</v>
      </c>
      <c r="J9" s="1">
        <v>3403786</v>
      </c>
      <c r="K9" s="1">
        <f>city_population[[#This Row],[Population_2022]] / city_population[[#This Row],[Area_km2]]</f>
        <v>1809.5619351408825</v>
      </c>
      <c r="L9" s="1">
        <f>city_population[[#This Row],[Population_2022]] - city_population[[#This Row],[Population_1991]]</f>
        <v>1135786</v>
      </c>
      <c r="M9" s="1">
        <f>city_population[[#This Row],[Population_Growth_Abs]] / city_population[[#This Row],[Population_1991]]</f>
        <v>0.50078747795414458</v>
      </c>
    </row>
    <row r="10" spans="1:13" x14ac:dyDescent="0.25">
      <c r="A10" s="2" t="s">
        <v>35</v>
      </c>
      <c r="B10" s="1" t="s">
        <v>36</v>
      </c>
      <c r="C10" s="1" t="s">
        <v>30</v>
      </c>
      <c r="D10" s="1">
        <v>1984</v>
      </c>
      <c r="E10" s="2" t="s">
        <v>37</v>
      </c>
      <c r="F10" s="1">
        <v>1645</v>
      </c>
      <c r="G10" s="1">
        <v>2150000</v>
      </c>
      <c r="H10" s="1">
        <v>2377088</v>
      </c>
      <c r="I10" s="1">
        <v>2513838</v>
      </c>
      <c r="J10" s="1">
        <v>2713247</v>
      </c>
      <c r="K10" s="1">
        <f>city_population[[#This Row],[Population_2022]] / city_population[[#This Row],[Area_km2]]</f>
        <v>1649.390273556231</v>
      </c>
      <c r="L10" s="1">
        <f>city_population[[#This Row],[Population_2022]] - city_population[[#This Row],[Population_1991]]</f>
        <v>563247</v>
      </c>
      <c r="M10" s="1">
        <f>city_population[[#This Row],[Population_Growth_Abs]] / city_population[[#This Row],[Population_1991]]</f>
        <v>0.2619753488372093</v>
      </c>
    </row>
    <row r="11" spans="1:13" x14ac:dyDescent="0.25">
      <c r="A11" s="2" t="s">
        <v>30</v>
      </c>
      <c r="B11" s="1" t="s">
        <v>38</v>
      </c>
      <c r="C11" s="1" t="s">
        <v>30</v>
      </c>
      <c r="D11" s="1">
        <v>1666</v>
      </c>
      <c r="E11" s="2" t="s">
        <v>39</v>
      </c>
      <c r="F11" s="1">
        <v>5282</v>
      </c>
      <c r="G11" s="1">
        <v>5744000</v>
      </c>
      <c r="H11" s="1">
        <v>7009504</v>
      </c>
      <c r="I11" s="1">
        <v>7913366</v>
      </c>
      <c r="J11" s="1">
        <v>9439076</v>
      </c>
      <c r="K11" s="1">
        <f>city_population[[#This Row],[Population_2022]] / city_population[[#This Row],[Area_km2]]</f>
        <v>1787.026883756153</v>
      </c>
      <c r="L11" s="1">
        <f>city_population[[#This Row],[Population_2022]] - city_population[[#This Row],[Population_1991]]</f>
        <v>3695076</v>
      </c>
      <c r="M11" s="1">
        <f>city_population[[#This Row],[Population_Growth_Abs]] / city_population[[#This Row],[Population_1991]]</f>
        <v>0.64329317548746523</v>
      </c>
    </row>
    <row r="12" spans="1:13" x14ac:dyDescent="0.25">
      <c r="A12" s="2" t="s">
        <v>40</v>
      </c>
      <c r="B12" s="1" t="s">
        <v>41</v>
      </c>
      <c r="C12" s="1" t="s">
        <v>30</v>
      </c>
      <c r="D12" s="1">
        <v>1984</v>
      </c>
      <c r="E12" s="2" t="s">
        <v>42</v>
      </c>
      <c r="F12" s="1">
        <v>2492</v>
      </c>
      <c r="G12" s="1">
        <v>1502000</v>
      </c>
      <c r="H12" s="1">
        <v>1856151</v>
      </c>
      <c r="I12" s="1">
        <v>2381814</v>
      </c>
      <c r="J12" s="1">
        <v>2906281</v>
      </c>
      <c r="K12" s="1">
        <f>city_population[[#This Row],[Population_2022]] / city_population[[#This Row],[Area_km2]]</f>
        <v>1166.2443820224719</v>
      </c>
      <c r="L12" s="1">
        <f>city_population[[#This Row],[Population_2022]] - city_population[[#This Row],[Population_1991]]</f>
        <v>1404281</v>
      </c>
      <c r="M12" s="1">
        <f>city_population[[#This Row],[Population_Growth_Abs]] / city_population[[#This Row],[Population_1991]]</f>
        <v>0.93494074567243679</v>
      </c>
    </row>
    <row r="13" spans="1:13" x14ac:dyDescent="0.25">
      <c r="A13" s="2" t="s">
        <v>43</v>
      </c>
      <c r="B13" s="1" t="s">
        <v>44</v>
      </c>
      <c r="C13" s="1" t="s">
        <v>30</v>
      </c>
      <c r="D13" s="1">
        <v>1790</v>
      </c>
      <c r="E13" s="2" t="s">
        <v>45</v>
      </c>
      <c r="F13" s="1">
        <v>3146</v>
      </c>
      <c r="G13" s="1">
        <v>4264000</v>
      </c>
      <c r="H13" s="1">
        <v>4807649</v>
      </c>
      <c r="I13" s="1">
        <v>5602624</v>
      </c>
      <c r="J13" s="1">
        <v>6394875</v>
      </c>
      <c r="K13" s="1">
        <f>city_population[[#This Row],[Population_2022]] / city_population[[#This Row],[Area_km2]]</f>
        <v>2032.7002542911634</v>
      </c>
      <c r="L13" s="1">
        <f>city_population[[#This Row],[Population_2022]] - city_population[[#This Row],[Population_1991]]</f>
        <v>2130875</v>
      </c>
      <c r="M13" s="1">
        <f>city_population[[#This Row],[Population_Growth_Abs]] / city_population[[#This Row],[Population_1991]]</f>
        <v>0.49973616322701686</v>
      </c>
    </row>
    <row r="14" spans="1:13" x14ac:dyDescent="0.25">
      <c r="A14" s="2" t="s">
        <v>46</v>
      </c>
      <c r="B14" s="1" t="s">
        <v>47</v>
      </c>
      <c r="C14" s="1" t="s">
        <v>30</v>
      </c>
      <c r="D14" s="1">
        <v>1984</v>
      </c>
      <c r="E14" s="2" t="s">
        <v>48</v>
      </c>
      <c r="F14" s="1">
        <v>990</v>
      </c>
      <c r="G14" s="1">
        <v>1158000</v>
      </c>
      <c r="H14" s="1">
        <v>1297987</v>
      </c>
      <c r="I14" s="1">
        <v>1496139</v>
      </c>
      <c r="J14" s="1">
        <v>1697379</v>
      </c>
      <c r="K14" s="1">
        <f>city_population[[#This Row],[Population_2022]] / city_population[[#This Row],[Area_km2]]</f>
        <v>1714.5242424242424</v>
      </c>
      <c r="L14" s="1">
        <f>city_population[[#This Row],[Population_2022]] - city_population[[#This Row],[Population_1991]]</f>
        <v>539379</v>
      </c>
      <c r="M14" s="1">
        <f>city_population[[#This Row],[Population_Growth_Abs]] / city_population[[#This Row],[Population_1991]]</f>
        <v>0.46578497409326425</v>
      </c>
    </row>
    <row r="15" spans="1:13" x14ac:dyDescent="0.25">
      <c r="A15" s="2" t="s">
        <v>49</v>
      </c>
      <c r="B15" s="1" t="s">
        <v>50</v>
      </c>
      <c r="C15" s="1" t="s">
        <v>30</v>
      </c>
      <c r="D15" s="1">
        <v>1983</v>
      </c>
      <c r="E15" s="2" t="s">
        <v>51</v>
      </c>
      <c r="F15" s="1">
        <v>2749</v>
      </c>
      <c r="G15" s="1">
        <v>366000</v>
      </c>
      <c r="H15" s="1">
        <v>549134</v>
      </c>
      <c r="I15" s="1">
        <v>638967</v>
      </c>
      <c r="J15" s="1">
        <v>735116</v>
      </c>
      <c r="K15" s="1">
        <f>city_population[[#This Row],[Population_2022]] / city_population[[#This Row],[Area_km2]]</f>
        <v>267.41214987268097</v>
      </c>
      <c r="L15" s="1">
        <f>city_population[[#This Row],[Population_2022]] - city_population[[#This Row],[Population_1991]]</f>
        <v>369116</v>
      </c>
      <c r="M15" s="1">
        <f>city_population[[#This Row],[Population_Growth_Abs]] / city_population[[#This Row],[Population_1991]]</f>
        <v>1.0085136612021859</v>
      </c>
    </row>
    <row r="16" spans="1:13" x14ac:dyDescent="0.25">
      <c r="A16" s="2" t="s">
        <v>52</v>
      </c>
      <c r="B16" s="1" t="s">
        <v>53</v>
      </c>
      <c r="C16" s="1" t="s">
        <v>30</v>
      </c>
      <c r="D16" s="1">
        <v>1984</v>
      </c>
      <c r="E16" s="2" t="s">
        <v>54</v>
      </c>
      <c r="F16" s="1">
        <v>1440</v>
      </c>
      <c r="G16" s="1">
        <v>1391000</v>
      </c>
      <c r="H16" s="1">
        <v>1558618</v>
      </c>
      <c r="I16" s="1">
        <v>1797761</v>
      </c>
      <c r="J16" s="1">
        <v>1994930</v>
      </c>
      <c r="K16" s="1">
        <f>city_population[[#This Row],[Population_2022]] / city_population[[#This Row],[Area_km2]]</f>
        <v>1385.3680555555557</v>
      </c>
      <c r="L16" s="1">
        <f>city_population[[#This Row],[Population_2022]] - city_population[[#This Row],[Population_1991]]</f>
        <v>603930</v>
      </c>
      <c r="M16" s="1">
        <f>city_population[[#This Row],[Population_Growth_Abs]] / city_population[[#This Row],[Population_1991]]</f>
        <v>0.43416966211358737</v>
      </c>
    </row>
    <row r="17" spans="1:13" x14ac:dyDescent="0.25">
      <c r="A17" s="2" t="s">
        <v>55</v>
      </c>
      <c r="B17" s="1" t="s">
        <v>56</v>
      </c>
      <c r="C17" s="1" t="s">
        <v>30</v>
      </c>
      <c r="D17" s="1">
        <v>1821</v>
      </c>
      <c r="E17" s="2" t="s">
        <v>57</v>
      </c>
      <c r="F17" s="1">
        <v>3686</v>
      </c>
      <c r="G17" s="1">
        <v>2346000</v>
      </c>
      <c r="H17" s="1">
        <v>2696453</v>
      </c>
      <c r="I17" s="1">
        <v>3231832</v>
      </c>
      <c r="J17" s="1">
        <v>3732042</v>
      </c>
      <c r="K17" s="1">
        <f>city_population[[#This Row],[Population_2022]] / city_population[[#This Row],[Area_km2]]</f>
        <v>1012.491047205643</v>
      </c>
      <c r="L17" s="1">
        <f>city_population[[#This Row],[Population_2022]] - city_population[[#This Row],[Population_1991]]</f>
        <v>1386042</v>
      </c>
      <c r="M17" s="1">
        <f>city_population[[#This Row],[Population_Growth_Abs]] / city_population[[#This Row],[Population_1991]]</f>
        <v>0.59081074168797953</v>
      </c>
    </row>
    <row r="18" spans="1:13" x14ac:dyDescent="0.25">
      <c r="A18" s="2" t="s">
        <v>58</v>
      </c>
      <c r="B18" s="1" t="s">
        <v>59</v>
      </c>
      <c r="C18" s="1" t="s">
        <v>30</v>
      </c>
      <c r="D18" s="1">
        <v>1983</v>
      </c>
      <c r="E18" s="2" t="s">
        <v>60</v>
      </c>
      <c r="F18" s="1">
        <v>6116</v>
      </c>
      <c r="G18" s="1">
        <v>430000</v>
      </c>
      <c r="H18" s="1">
        <v>531489</v>
      </c>
      <c r="I18" s="1">
        <v>620215</v>
      </c>
      <c r="J18" s="1">
        <v>666627</v>
      </c>
      <c r="K18" s="1">
        <f>city_population[[#This Row],[Population_2022]] / city_population[[#This Row],[Area_km2]]</f>
        <v>108.99722040549379</v>
      </c>
      <c r="L18" s="1">
        <f>city_population[[#This Row],[Population_2022]] - city_population[[#This Row],[Population_1991]]</f>
        <v>236627</v>
      </c>
      <c r="M18" s="1">
        <f>city_population[[#This Row],[Population_Growth_Abs]] / city_population[[#This Row],[Population_1991]]</f>
        <v>0.55029534883720932</v>
      </c>
    </row>
    <row r="19" spans="1:13" x14ac:dyDescent="0.25">
      <c r="A19" s="2" t="s">
        <v>61</v>
      </c>
      <c r="B19" s="1" t="s">
        <v>62</v>
      </c>
      <c r="C19" s="1" t="s">
        <v>61</v>
      </c>
      <c r="D19" s="1">
        <v>1772</v>
      </c>
      <c r="E19" s="2" t="s">
        <v>63</v>
      </c>
      <c r="F19" s="1">
        <v>1464</v>
      </c>
      <c r="G19" s="1">
        <v>6164000</v>
      </c>
      <c r="H19" s="1">
        <v>9151343</v>
      </c>
      <c r="I19" s="1">
        <v>12517360</v>
      </c>
      <c r="J19" s="1">
        <v>15210851</v>
      </c>
      <c r="K19" s="1">
        <f>city_population[[#This Row],[Population_2022]] / city_population[[#This Row],[Area_km2]]</f>
        <v>10389.925546448087</v>
      </c>
      <c r="L19" s="1">
        <f>city_population[[#This Row],[Population_2022]] - city_population[[#This Row],[Population_1991]]</f>
        <v>9046851</v>
      </c>
      <c r="M19" s="1">
        <f>city_population[[#This Row],[Population_Growth_Abs]] / city_population[[#This Row],[Population_1991]]</f>
        <v>1.467691596365996</v>
      </c>
    </row>
    <row r="20" spans="1:13" x14ac:dyDescent="0.25">
      <c r="A20" s="2" t="s">
        <v>64</v>
      </c>
      <c r="B20" s="1" t="s">
        <v>65</v>
      </c>
      <c r="C20" s="1" t="s">
        <v>61</v>
      </c>
      <c r="D20" s="1">
        <v>1815</v>
      </c>
      <c r="E20" s="2" t="s">
        <v>66</v>
      </c>
      <c r="F20" s="1">
        <v>2053</v>
      </c>
      <c r="G20" s="1">
        <v>1559000</v>
      </c>
      <c r="H20" s="1">
        <v>1837631</v>
      </c>
      <c r="I20" s="1">
        <v>1988695</v>
      </c>
      <c r="J20" s="1">
        <v>2232772</v>
      </c>
      <c r="K20" s="1">
        <f>city_population[[#This Row],[Population_2022]] / city_population[[#This Row],[Area_km2]]</f>
        <v>1087.5655138821237</v>
      </c>
      <c r="L20" s="1">
        <f>city_population[[#This Row],[Population_2022]] - city_population[[#This Row],[Population_1991]]</f>
        <v>673772</v>
      </c>
      <c r="M20" s="1">
        <f>city_population[[#This Row],[Population_Growth_Abs]] / city_population[[#This Row],[Population_1991]]</f>
        <v>0.43218216805644644</v>
      </c>
    </row>
    <row r="21" spans="1:13" x14ac:dyDescent="0.25">
      <c r="A21" s="2" t="s">
        <v>67</v>
      </c>
      <c r="B21" s="1" t="s">
        <v>68</v>
      </c>
      <c r="C21" s="1" t="s">
        <v>61</v>
      </c>
      <c r="D21" s="1">
        <v>1984</v>
      </c>
      <c r="E21" s="2" t="s">
        <v>69</v>
      </c>
      <c r="F21" s="1">
        <v>1806</v>
      </c>
      <c r="G21" s="1">
        <v>1683000</v>
      </c>
      <c r="H21" s="1">
        <v>2142179</v>
      </c>
      <c r="I21" s="1">
        <v>3548115</v>
      </c>
      <c r="J21" s="1">
        <v>5433538</v>
      </c>
      <c r="K21" s="1">
        <f>city_population[[#This Row],[Population_2022]] / city_population[[#This Row],[Area_km2]]</f>
        <v>3008.6035437430787</v>
      </c>
      <c r="L21" s="1">
        <f>city_population[[#This Row],[Population_2022]] - city_population[[#This Row],[Population_1991]]</f>
        <v>3750538</v>
      </c>
      <c r="M21" s="1">
        <f>city_population[[#This Row],[Population_Growth_Abs]] / city_population[[#This Row],[Population_1991]]</f>
        <v>2.2284836601307187</v>
      </c>
    </row>
    <row r="22" spans="1:13" x14ac:dyDescent="0.25">
      <c r="A22" s="2" t="s">
        <v>70</v>
      </c>
      <c r="B22" s="1" t="s">
        <v>71</v>
      </c>
      <c r="C22" s="1" t="s">
        <v>61</v>
      </c>
      <c r="D22" s="1">
        <v>1984</v>
      </c>
      <c r="E22" s="2" t="s">
        <v>72</v>
      </c>
      <c r="F22" s="1">
        <v>1469</v>
      </c>
      <c r="G22" s="1">
        <v>1097000</v>
      </c>
      <c r="H22" s="1">
        <v>1218789</v>
      </c>
      <c r="I22" s="1">
        <v>1218319</v>
      </c>
      <c r="J22" s="1">
        <v>1336907</v>
      </c>
      <c r="K22" s="1">
        <f>city_population[[#This Row],[Population_2022]] / city_population[[#This Row],[Area_km2]]</f>
        <v>910.07964601769913</v>
      </c>
      <c r="L22" s="1">
        <f>city_population[[#This Row],[Population_2022]] - city_population[[#This Row],[Population_1991]]</f>
        <v>239907</v>
      </c>
      <c r="M22" s="1">
        <f>city_population[[#This Row],[Population_Growth_Abs]] / city_population[[#This Row],[Population_1991]]</f>
        <v>0.21869371011850502</v>
      </c>
    </row>
    <row r="23" spans="1:13" x14ac:dyDescent="0.25">
      <c r="A23" s="2" t="s">
        <v>73</v>
      </c>
      <c r="B23" s="1" t="s">
        <v>74</v>
      </c>
      <c r="C23" s="1" t="s">
        <v>61</v>
      </c>
      <c r="D23" s="1">
        <v>1984</v>
      </c>
      <c r="E23" s="2" t="s">
        <v>75</v>
      </c>
      <c r="F23" s="1">
        <v>2689</v>
      </c>
      <c r="G23" s="1">
        <v>2388000</v>
      </c>
      <c r="H23" s="1">
        <v>2714721</v>
      </c>
      <c r="I23" s="1">
        <v>3028706</v>
      </c>
      <c r="J23" s="1">
        <v>3373219</v>
      </c>
      <c r="K23" s="1">
        <f>city_population[[#This Row],[Population_2022]] / city_population[[#This Row],[Area_km2]]</f>
        <v>1254.451097062105</v>
      </c>
      <c r="L23" s="1">
        <f>city_population[[#This Row],[Population_2022]] - city_population[[#This Row],[Population_1991]]</f>
        <v>985219</v>
      </c>
      <c r="M23" s="1">
        <f>city_population[[#This Row],[Population_Growth_Abs]] / city_population[[#This Row],[Population_1991]]</f>
        <v>0.412570770519263</v>
      </c>
    </row>
    <row r="24" spans="1:13" x14ac:dyDescent="0.25">
      <c r="A24" s="2" t="s">
        <v>76</v>
      </c>
      <c r="B24" s="1" t="s">
        <v>77</v>
      </c>
      <c r="C24" s="1" t="s">
        <v>61</v>
      </c>
      <c r="D24" s="1">
        <v>1984</v>
      </c>
      <c r="E24" s="2" t="s">
        <v>78</v>
      </c>
      <c r="F24" s="1">
        <v>1126</v>
      </c>
      <c r="G24" s="1">
        <v>1106000</v>
      </c>
      <c r="H24" s="1">
        <v>1199374</v>
      </c>
      <c r="I24" s="1">
        <v>1212199</v>
      </c>
      <c r="J24" s="1">
        <v>1334811</v>
      </c>
      <c r="K24" s="1">
        <f>city_population[[#This Row],[Population_2022]] / city_population[[#This Row],[Area_km2]]</f>
        <v>1185.4449378330373</v>
      </c>
      <c r="L24" s="1">
        <f>city_population[[#This Row],[Population_2022]] - city_population[[#This Row],[Population_1991]]</f>
        <v>228811</v>
      </c>
      <c r="M24" s="1">
        <f>city_population[[#This Row],[Population_Growth_Abs]] / city_population[[#This Row],[Population_1991]]</f>
        <v>0.20688155515370704</v>
      </c>
    </row>
    <row r="25" spans="1:13" x14ac:dyDescent="0.25">
      <c r="A25" s="2" t="s">
        <v>79</v>
      </c>
      <c r="B25" s="1" t="s">
        <v>80</v>
      </c>
      <c r="C25" s="1" t="s">
        <v>61</v>
      </c>
      <c r="D25" s="1">
        <v>1984</v>
      </c>
      <c r="E25" s="2" t="s">
        <v>81</v>
      </c>
      <c r="F25" s="1">
        <v>1384</v>
      </c>
      <c r="G25" s="1">
        <v>1216000</v>
      </c>
      <c r="H25" s="1">
        <v>1343468</v>
      </c>
      <c r="I25" s="1">
        <v>1447301</v>
      </c>
      <c r="J25" s="1">
        <v>1608372</v>
      </c>
      <c r="K25" s="1">
        <f>city_population[[#This Row],[Population_2022]] / city_population[[#This Row],[Area_km2]]</f>
        <v>1162.1184971098266</v>
      </c>
      <c r="L25" s="1">
        <f>city_population[[#This Row],[Population_2022]] - city_population[[#This Row],[Population_1991]]</f>
        <v>392372</v>
      </c>
      <c r="M25" s="1">
        <f>city_population[[#This Row],[Population_Growth_Abs]] / city_population[[#This Row],[Population_1991]]</f>
        <v>0.32267434210526313</v>
      </c>
    </row>
    <row r="26" spans="1:13" x14ac:dyDescent="0.25">
      <c r="A26" s="2" t="s">
        <v>82</v>
      </c>
      <c r="B26" s="1" t="s">
        <v>83</v>
      </c>
      <c r="C26" s="1" t="s">
        <v>61</v>
      </c>
      <c r="D26" s="1">
        <v>1984</v>
      </c>
      <c r="E26" s="2" t="s">
        <v>84</v>
      </c>
      <c r="F26" s="1">
        <v>1004</v>
      </c>
      <c r="G26" s="1">
        <v>1229000</v>
      </c>
      <c r="H26" s="1">
        <v>1353615</v>
      </c>
      <c r="I26" s="1">
        <v>1502449</v>
      </c>
      <c r="J26" s="1">
        <v>1677941</v>
      </c>
      <c r="K26" s="1">
        <f>city_population[[#This Row],[Population_2022]] / city_population[[#This Row],[Area_km2]]</f>
        <v>1671.2559760956176</v>
      </c>
      <c r="L26" s="1">
        <f>city_population[[#This Row],[Population_2022]] - city_population[[#This Row],[Population_1991]]</f>
        <v>448941</v>
      </c>
      <c r="M26" s="1">
        <f>city_population[[#This Row],[Population_Growth_Abs]] / city_population[[#This Row],[Population_1991]]</f>
        <v>0.36528966639544347</v>
      </c>
    </row>
    <row r="27" spans="1:13" x14ac:dyDescent="0.25">
      <c r="A27" s="2" t="s">
        <v>85</v>
      </c>
      <c r="B27" s="1" t="s">
        <v>86</v>
      </c>
      <c r="C27" s="1" t="s">
        <v>61</v>
      </c>
      <c r="D27" s="1">
        <v>1984</v>
      </c>
      <c r="E27" s="2" t="s">
        <v>87</v>
      </c>
      <c r="F27" s="1">
        <v>684</v>
      </c>
      <c r="G27" s="1">
        <v>1819000</v>
      </c>
      <c r="H27" s="1">
        <v>2289797</v>
      </c>
      <c r="I27" s="1">
        <v>3074078</v>
      </c>
      <c r="J27" s="1">
        <v>4035461</v>
      </c>
      <c r="K27" s="1">
        <f>city_population[[#This Row],[Population_2022]] / city_population[[#This Row],[Area_km2]]</f>
        <v>5899.7967836257312</v>
      </c>
      <c r="L27" s="1">
        <f>city_population[[#This Row],[Population_2022]] - city_population[[#This Row],[Population_1991]]</f>
        <v>2216461</v>
      </c>
      <c r="M27" s="1">
        <f>city_population[[#This Row],[Population_Growth_Abs]] / city_population[[#This Row],[Population_1991]]</f>
        <v>1.2185052226498077</v>
      </c>
    </row>
    <row r="28" spans="1:13" x14ac:dyDescent="0.25">
      <c r="A28" s="2" t="s">
        <v>88</v>
      </c>
      <c r="B28" s="1" t="s">
        <v>89</v>
      </c>
      <c r="C28" s="1" t="s">
        <v>61</v>
      </c>
      <c r="D28" s="1">
        <v>1984</v>
      </c>
      <c r="E28" s="2" t="s">
        <v>90</v>
      </c>
      <c r="F28" s="1">
        <v>1150</v>
      </c>
      <c r="G28" s="1">
        <v>1710000</v>
      </c>
      <c r="H28" s="1">
        <v>1983571</v>
      </c>
      <c r="I28" s="1">
        <v>2314889</v>
      </c>
      <c r="J28" s="1">
        <v>2667968</v>
      </c>
      <c r="K28" s="1">
        <f>city_population[[#This Row],[Population_2022]] / city_population[[#This Row],[Area_km2]]</f>
        <v>2319.9721739130437</v>
      </c>
      <c r="L28" s="1">
        <f>city_population[[#This Row],[Population_2022]] - city_population[[#This Row],[Population_1991]]</f>
        <v>957968</v>
      </c>
      <c r="M28" s="1">
        <f>city_population[[#This Row],[Population_Growth_Abs]] / city_population[[#This Row],[Population_1991]]</f>
        <v>0.56021520467836261</v>
      </c>
    </row>
    <row r="29" spans="1:13" x14ac:dyDescent="0.25">
      <c r="A29" s="2" t="s">
        <v>91</v>
      </c>
      <c r="B29" s="1" t="s">
        <v>92</v>
      </c>
      <c r="C29" s="1" t="s">
        <v>61</v>
      </c>
      <c r="D29" s="1">
        <v>1984</v>
      </c>
      <c r="E29" s="2" t="s">
        <v>93</v>
      </c>
      <c r="F29" s="1">
        <v>1092</v>
      </c>
      <c r="G29" s="1">
        <v>866000</v>
      </c>
      <c r="H29" s="1">
        <v>996147</v>
      </c>
      <c r="I29" s="1">
        <v>1091263</v>
      </c>
      <c r="J29" s="1">
        <v>1228267</v>
      </c>
      <c r="K29" s="1">
        <f>city_population[[#This Row],[Population_2022]] / city_population[[#This Row],[Area_km2]]</f>
        <v>1124.78663003663</v>
      </c>
      <c r="L29" s="1">
        <f>city_population[[#This Row],[Population_2022]] - city_population[[#This Row],[Population_1991]]</f>
        <v>362267</v>
      </c>
      <c r="M29" s="1">
        <f>city_population[[#This Row],[Population_Growth_Abs]] / city_population[[#This Row],[Population_1991]]</f>
        <v>0.41832217090069285</v>
      </c>
    </row>
    <row r="30" spans="1:13" x14ac:dyDescent="0.25">
      <c r="A30" s="2" t="s">
        <v>94</v>
      </c>
      <c r="B30" s="1" t="s">
        <v>95</v>
      </c>
      <c r="C30" s="1" t="s">
        <v>61</v>
      </c>
      <c r="D30" s="1">
        <v>1984</v>
      </c>
      <c r="E30" s="2" t="s">
        <v>96</v>
      </c>
      <c r="F30" s="1">
        <v>1174</v>
      </c>
      <c r="G30" s="1">
        <v>986000</v>
      </c>
      <c r="H30" s="1">
        <v>1132535</v>
      </c>
      <c r="I30" s="1">
        <v>1201464</v>
      </c>
      <c r="J30" s="1">
        <v>1336396</v>
      </c>
      <c r="K30" s="1">
        <f>city_population[[#This Row],[Population_2022]] / city_population[[#This Row],[Area_km2]]</f>
        <v>1138.3270868824532</v>
      </c>
      <c r="L30" s="1">
        <f>city_population[[#This Row],[Population_2022]] - city_population[[#This Row],[Population_1991]]</f>
        <v>350396</v>
      </c>
      <c r="M30" s="1">
        <f>city_population[[#This Row],[Population_Growth_Abs]] / city_population[[#This Row],[Population_1991]]</f>
        <v>0.35537119675456391</v>
      </c>
    </row>
    <row r="31" spans="1:13" x14ac:dyDescent="0.25">
      <c r="A31" s="2" t="s">
        <v>97</v>
      </c>
      <c r="B31" s="1" t="s">
        <v>98</v>
      </c>
      <c r="C31" s="1" t="s">
        <v>61</v>
      </c>
      <c r="D31" s="1">
        <v>1969</v>
      </c>
      <c r="E31" s="2" t="s">
        <v>99</v>
      </c>
      <c r="F31" s="1">
        <v>3414</v>
      </c>
      <c r="G31" s="1">
        <v>3108000</v>
      </c>
      <c r="H31" s="1">
        <v>3443497</v>
      </c>
      <c r="I31" s="1">
        <v>3749086</v>
      </c>
      <c r="J31" s="1">
        <v>4168083</v>
      </c>
      <c r="K31" s="1">
        <f>city_population[[#This Row],[Population_2022]] / city_population[[#This Row],[Area_km2]]</f>
        <v>1220.8796133567662</v>
      </c>
      <c r="L31" s="1">
        <f>city_population[[#This Row],[Population_2022]] - city_population[[#This Row],[Population_1991]]</f>
        <v>1060083</v>
      </c>
      <c r="M31" s="1">
        <f>city_population[[#This Row],[Population_Growth_Abs]] / city_population[[#This Row],[Population_1991]]</f>
        <v>0.34108204633204631</v>
      </c>
    </row>
    <row r="32" spans="1:13" x14ac:dyDescent="0.25">
      <c r="A32" s="2" t="s">
        <v>100</v>
      </c>
      <c r="B32" s="1" t="s">
        <v>101</v>
      </c>
      <c r="C32" s="1" t="s">
        <v>102</v>
      </c>
      <c r="D32" s="1">
        <v>1978</v>
      </c>
      <c r="E32" s="2" t="s">
        <v>103</v>
      </c>
      <c r="F32" s="1">
        <v>2115</v>
      </c>
      <c r="G32" s="1">
        <v>1943000</v>
      </c>
      <c r="H32" s="1">
        <v>2205766</v>
      </c>
      <c r="I32" s="1">
        <v>2384811</v>
      </c>
      <c r="J32" s="1">
        <v>2583984</v>
      </c>
      <c r="K32" s="1">
        <f>city_population[[#This Row],[Population_2022]] / city_population[[#This Row],[Area_km2]]</f>
        <v>1221.7418439716312</v>
      </c>
      <c r="L32" s="1">
        <f>city_population[[#This Row],[Population_2022]] - city_population[[#This Row],[Population_1991]]</f>
        <v>640984</v>
      </c>
      <c r="M32" s="1">
        <f>city_population[[#This Row],[Population_Growth_Abs]] / city_population[[#This Row],[Population_1991]]</f>
        <v>0.32989397838394235</v>
      </c>
    </row>
    <row r="33" spans="1:13" x14ac:dyDescent="0.25">
      <c r="A33" s="2" t="s">
        <v>102</v>
      </c>
      <c r="B33" s="1" t="s">
        <v>104</v>
      </c>
      <c r="C33" s="1" t="s">
        <v>102</v>
      </c>
      <c r="D33" s="1">
        <v>1787</v>
      </c>
      <c r="E33" s="2" t="s">
        <v>105</v>
      </c>
      <c r="F33" s="1">
        <v>4395</v>
      </c>
      <c r="G33" s="1">
        <v>4097000</v>
      </c>
      <c r="H33" s="1">
        <v>4696966</v>
      </c>
      <c r="I33" s="1">
        <v>5313163</v>
      </c>
      <c r="J33" s="1">
        <v>6097814</v>
      </c>
      <c r="K33" s="1">
        <f>city_population[[#This Row],[Population_2022]] / city_population[[#This Row],[Area_km2]]</f>
        <v>1387.4434584755404</v>
      </c>
      <c r="L33" s="1">
        <f>city_population[[#This Row],[Population_2022]] - city_population[[#This Row],[Population_1991]]</f>
        <v>2000814</v>
      </c>
      <c r="M33" s="1">
        <f>city_population[[#This Row],[Population_Growth_Abs]] / city_population[[#This Row],[Population_1991]]</f>
        <v>0.48836075176958749</v>
      </c>
    </row>
    <row r="34" spans="1:13" x14ac:dyDescent="0.25">
      <c r="A34" s="2" t="s">
        <v>106</v>
      </c>
      <c r="B34" s="1" t="s">
        <v>107</v>
      </c>
      <c r="C34" s="1" t="s">
        <v>102</v>
      </c>
      <c r="D34" s="1">
        <v>1984</v>
      </c>
      <c r="E34" s="2" t="s">
        <v>108</v>
      </c>
      <c r="F34" s="1">
        <v>2794</v>
      </c>
      <c r="G34" s="1">
        <v>1791000</v>
      </c>
      <c r="H34" s="1">
        <v>2079716</v>
      </c>
      <c r="I34" s="1">
        <v>2317190</v>
      </c>
      <c r="J34" s="1">
        <v>2403205</v>
      </c>
      <c r="K34" s="1">
        <f>city_population[[#This Row],[Population_2022]] / city_population[[#This Row],[Area_km2]]</f>
        <v>860.13063707945594</v>
      </c>
      <c r="L34" s="1">
        <f>city_population[[#This Row],[Population_2022]] - city_population[[#This Row],[Population_1991]]</f>
        <v>612205</v>
      </c>
      <c r="M34" s="1">
        <f>city_population[[#This Row],[Population_Growth_Abs]] / city_population[[#This Row],[Population_1991]]</f>
        <v>0.34182300390843107</v>
      </c>
    </row>
    <row r="35" spans="1:13" x14ac:dyDescent="0.25">
      <c r="A35" s="2" t="s">
        <v>109</v>
      </c>
      <c r="B35" s="1" t="s">
        <v>110</v>
      </c>
      <c r="C35" s="1" t="s">
        <v>102</v>
      </c>
      <c r="D35" s="1">
        <v>1984</v>
      </c>
      <c r="E35" s="2" t="s">
        <v>111</v>
      </c>
      <c r="F35" s="1">
        <v>1365</v>
      </c>
      <c r="G35" s="1">
        <v>1179000</v>
      </c>
      <c r="H35" s="1">
        <v>1338834</v>
      </c>
      <c r="I35" s="1">
        <v>1412601</v>
      </c>
      <c r="J35" s="1">
        <v>1552469</v>
      </c>
      <c r="K35" s="1">
        <f>city_population[[#This Row],[Population_2022]] / city_population[[#This Row],[Area_km2]]</f>
        <v>1137.3399267399268</v>
      </c>
      <c r="L35" s="1">
        <f>city_population[[#This Row],[Population_2022]] - city_population[[#This Row],[Population_1991]]</f>
        <v>373469</v>
      </c>
      <c r="M35" s="1">
        <f>city_population[[#This Row],[Population_Growth_Abs]] / city_population[[#This Row],[Population_1991]]</f>
        <v>0.31676759966072943</v>
      </c>
    </row>
    <row r="36" spans="1:13" x14ac:dyDescent="0.25">
      <c r="A36" s="2" t="s">
        <v>112</v>
      </c>
      <c r="B36" s="1" t="s">
        <v>113</v>
      </c>
      <c r="C36" s="1" t="s">
        <v>114</v>
      </c>
      <c r="D36" s="1">
        <v>1984</v>
      </c>
      <c r="E36" s="2" t="s">
        <v>115</v>
      </c>
      <c r="F36" s="1">
        <v>3959</v>
      </c>
      <c r="G36" s="1">
        <v>1489000</v>
      </c>
      <c r="H36" s="1">
        <v>1620216</v>
      </c>
      <c r="I36" s="1">
        <v>1534012</v>
      </c>
      <c r="J36" s="1">
        <v>1649874</v>
      </c>
      <c r="K36" s="1">
        <f>city_population[[#This Row],[Population_2022]] / city_population[[#This Row],[Area_km2]]</f>
        <v>416.74008588027277</v>
      </c>
      <c r="L36" s="1">
        <f>city_population[[#This Row],[Population_2022]] - city_population[[#This Row],[Population_1991]]</f>
        <v>160874</v>
      </c>
      <c r="M36" s="1">
        <f>city_population[[#This Row],[Population_Growth_Abs]] / city_population[[#This Row],[Population_1991]]</f>
        <v>0.10804163868368032</v>
      </c>
    </row>
    <row r="37" spans="1:13" x14ac:dyDescent="0.25">
      <c r="A37" s="2" t="s">
        <v>116</v>
      </c>
      <c r="B37" s="1" t="s">
        <v>117</v>
      </c>
      <c r="C37" s="1" t="s">
        <v>114</v>
      </c>
      <c r="D37" s="1">
        <v>1984</v>
      </c>
      <c r="E37" s="2" t="s">
        <v>118</v>
      </c>
      <c r="F37" s="1">
        <v>1174</v>
      </c>
      <c r="G37" s="1">
        <v>843000</v>
      </c>
      <c r="H37" s="1">
        <v>1053936</v>
      </c>
      <c r="I37" s="1">
        <v>1174836</v>
      </c>
      <c r="J37" s="1">
        <v>1262205</v>
      </c>
      <c r="K37" s="1">
        <f>city_population[[#This Row],[Population_2022]] / city_population[[#This Row],[Area_km2]]</f>
        <v>1075.1320272572402</v>
      </c>
      <c r="L37" s="1">
        <f>city_population[[#This Row],[Population_2022]] - city_population[[#This Row],[Population_1991]]</f>
        <v>419205</v>
      </c>
      <c r="M37" s="1">
        <f>city_population[[#This Row],[Population_Growth_Abs]] / city_population[[#This Row],[Population_1991]]</f>
        <v>0.4972775800711744</v>
      </c>
    </row>
    <row r="38" spans="1:13" x14ac:dyDescent="0.25">
      <c r="A38" s="2" t="s">
        <v>119</v>
      </c>
      <c r="B38" s="1" t="s">
        <v>120</v>
      </c>
      <c r="C38" s="1" t="s">
        <v>114</v>
      </c>
      <c r="D38" s="1">
        <v>1781</v>
      </c>
      <c r="E38" s="2" t="s">
        <v>121</v>
      </c>
      <c r="F38" s="1">
        <v>2607</v>
      </c>
      <c r="G38" s="1">
        <v>2193000</v>
      </c>
      <c r="H38" s="1">
        <v>2586771</v>
      </c>
      <c r="I38" s="1">
        <v>2876380</v>
      </c>
      <c r="J38" s="1">
        <v>3146317</v>
      </c>
      <c r="K38" s="1">
        <f>city_population[[#This Row],[Population_2022]] / city_population[[#This Row],[Area_km2]]</f>
        <v>1206.8726505561949</v>
      </c>
      <c r="L38" s="1">
        <f>city_population[[#This Row],[Population_2022]] - city_population[[#This Row],[Population_1991]]</f>
        <v>953317</v>
      </c>
      <c r="M38" s="1">
        <f>city_population[[#This Row],[Population_Growth_Abs]] / city_population[[#This Row],[Population_1991]]</f>
        <v>0.43470907432740535</v>
      </c>
    </row>
    <row r="39" spans="1:13" x14ac:dyDescent="0.25">
      <c r="A39" s="2" t="s">
        <v>122</v>
      </c>
      <c r="B39" s="1" t="s">
        <v>123</v>
      </c>
      <c r="C39" s="1" t="s">
        <v>114</v>
      </c>
      <c r="D39" s="1">
        <v>1984</v>
      </c>
      <c r="E39" s="2" t="s">
        <v>124</v>
      </c>
      <c r="F39" s="1">
        <v>1965</v>
      </c>
      <c r="G39" s="1">
        <v>1420000</v>
      </c>
      <c r="H39" s="1">
        <v>1653843</v>
      </c>
      <c r="I39" s="1">
        <v>1842573</v>
      </c>
      <c r="J39" s="1">
        <v>2051607</v>
      </c>
      <c r="K39" s="1">
        <f>city_population[[#This Row],[Population_2022]] / city_population[[#This Row],[Area_km2]]</f>
        <v>1044.0748091603054</v>
      </c>
      <c r="L39" s="1">
        <f>city_population[[#This Row],[Population_2022]] - city_population[[#This Row],[Population_1991]]</f>
        <v>631607</v>
      </c>
      <c r="M39" s="1">
        <f>city_population[[#This Row],[Population_Growth_Abs]] / city_population[[#This Row],[Population_1991]]</f>
        <v>0.44479366197183101</v>
      </c>
    </row>
    <row r="40" spans="1:13" x14ac:dyDescent="0.25">
      <c r="A40" s="2" t="s">
        <v>114</v>
      </c>
      <c r="B40" s="1" t="s">
        <v>125</v>
      </c>
      <c r="C40" s="1" t="s">
        <v>114</v>
      </c>
      <c r="D40" s="1">
        <v>1882</v>
      </c>
      <c r="E40" s="2" t="s">
        <v>126</v>
      </c>
      <c r="F40" s="1">
        <v>4394</v>
      </c>
      <c r="G40" s="1">
        <v>2131000</v>
      </c>
      <c r="H40" s="1">
        <v>2520962</v>
      </c>
      <c r="I40" s="1">
        <v>2407679</v>
      </c>
      <c r="J40" s="1">
        <v>2673002</v>
      </c>
      <c r="K40" s="1">
        <f>city_population[[#This Row],[Population_2022]] / city_population[[#This Row],[Area_km2]]</f>
        <v>608.32999544833865</v>
      </c>
      <c r="L40" s="1">
        <f>city_population[[#This Row],[Population_2022]] - city_population[[#This Row],[Population_1991]]</f>
        <v>542002</v>
      </c>
      <c r="M40" s="1">
        <f>city_population[[#This Row],[Population_Growth_Abs]] / city_population[[#This Row],[Population_1991]]</f>
        <v>0.25434162365086815</v>
      </c>
    </row>
    <row r="41" spans="1:13" x14ac:dyDescent="0.25">
      <c r="A41" s="2" t="s">
        <v>127</v>
      </c>
      <c r="B41" s="1" t="s">
        <v>128</v>
      </c>
      <c r="C41" s="1" t="s">
        <v>114</v>
      </c>
      <c r="D41" s="1">
        <v>1947</v>
      </c>
      <c r="E41" s="2" t="s">
        <v>129</v>
      </c>
      <c r="F41" s="1">
        <v>1609</v>
      </c>
      <c r="G41" s="1">
        <v>1562000</v>
      </c>
      <c r="H41" s="1">
        <v>1820554</v>
      </c>
      <c r="I41" s="1">
        <v>2023657</v>
      </c>
      <c r="J41" s="1">
        <v>2198731</v>
      </c>
      <c r="K41" s="1">
        <f>city_population[[#This Row],[Population_2022]] / city_population[[#This Row],[Area_km2]]</f>
        <v>1366.5201988812928</v>
      </c>
      <c r="L41" s="1">
        <f>city_population[[#This Row],[Population_2022]] - city_population[[#This Row],[Population_1991]]</f>
        <v>636731</v>
      </c>
      <c r="M41" s="1">
        <f>city_population[[#This Row],[Population_Growth_Abs]] / city_population[[#This Row],[Population_1991]]</f>
        <v>0.40763828425096033</v>
      </c>
    </row>
    <row r="42" spans="1:13" x14ac:dyDescent="0.25">
      <c r="A42" s="2" t="s">
        <v>130</v>
      </c>
      <c r="B42" s="1" t="s">
        <v>131</v>
      </c>
      <c r="C42" s="1" t="s">
        <v>114</v>
      </c>
      <c r="D42" s="1">
        <v>1984</v>
      </c>
      <c r="E42" s="2" t="s">
        <v>132</v>
      </c>
      <c r="F42" s="1">
        <v>1039</v>
      </c>
      <c r="G42" s="1">
        <v>752000</v>
      </c>
      <c r="H42" s="1">
        <v>862777</v>
      </c>
      <c r="I42" s="1">
        <v>954804</v>
      </c>
      <c r="J42" s="1">
        <v>1056683</v>
      </c>
      <c r="K42" s="1">
        <f>city_population[[#This Row],[Population_2022]] / city_population[[#This Row],[Area_km2]]</f>
        <v>1017.0192492781521</v>
      </c>
      <c r="L42" s="1">
        <f>city_population[[#This Row],[Population_2022]] - city_population[[#This Row],[Population_1991]]</f>
        <v>304683</v>
      </c>
      <c r="M42" s="1">
        <f>city_population[[#This Row],[Population_Growth_Abs]] / city_population[[#This Row],[Population_1991]]</f>
        <v>0.40516356382978724</v>
      </c>
    </row>
    <row r="43" spans="1:13" x14ac:dyDescent="0.25">
      <c r="A43" s="2" t="s">
        <v>133</v>
      </c>
      <c r="B43" s="1" t="s">
        <v>134</v>
      </c>
      <c r="C43" s="1" t="s">
        <v>114</v>
      </c>
      <c r="D43" s="1">
        <v>1984</v>
      </c>
      <c r="E43" s="2" t="s">
        <v>135</v>
      </c>
      <c r="F43" s="1">
        <v>752</v>
      </c>
      <c r="G43" s="1">
        <v>511000</v>
      </c>
      <c r="H43" s="1">
        <v>618466</v>
      </c>
      <c r="I43" s="1">
        <v>681331</v>
      </c>
      <c r="J43" s="1">
        <v>721447</v>
      </c>
      <c r="K43" s="1">
        <f>city_population[[#This Row],[Population_2022]] / city_population[[#This Row],[Area_km2]]</f>
        <v>959.37101063829789</v>
      </c>
      <c r="L43" s="1">
        <f>city_population[[#This Row],[Population_2022]] - city_population[[#This Row],[Population_1991]]</f>
        <v>210447</v>
      </c>
      <c r="M43" s="1">
        <f>city_population[[#This Row],[Population_Growth_Abs]] / city_population[[#This Row],[Population_1991]]</f>
        <v>0.41183365949119372</v>
      </c>
    </row>
    <row r="44" spans="1:13" x14ac:dyDescent="0.25">
      <c r="A44" s="2" t="s">
        <v>136</v>
      </c>
      <c r="B44" s="1" t="s">
        <v>137</v>
      </c>
      <c r="C44" s="1" t="s">
        <v>114</v>
      </c>
      <c r="D44" s="1">
        <v>1984</v>
      </c>
      <c r="E44" s="2" t="s">
        <v>138</v>
      </c>
      <c r="F44" s="1">
        <v>968</v>
      </c>
      <c r="G44" s="1">
        <v>682000</v>
      </c>
      <c r="H44" s="1">
        <v>730568</v>
      </c>
      <c r="I44" s="1">
        <v>750425</v>
      </c>
      <c r="J44" s="1">
        <v>806662</v>
      </c>
      <c r="K44" s="1">
        <f>city_population[[#This Row],[Population_2022]] / city_population[[#This Row],[Area_km2]]</f>
        <v>833.32851239669424</v>
      </c>
      <c r="L44" s="1">
        <f>city_population[[#This Row],[Population_2022]] - city_population[[#This Row],[Population_1991]]</f>
        <v>124662</v>
      </c>
      <c r="M44" s="1">
        <f>city_population[[#This Row],[Population_Growth_Abs]] / city_population[[#This Row],[Population_1991]]</f>
        <v>0.18278885630498534</v>
      </c>
    </row>
    <row r="45" spans="1:13" x14ac:dyDescent="0.25">
      <c r="A45" s="2" t="s">
        <v>139</v>
      </c>
      <c r="B45" s="1" t="s">
        <v>140</v>
      </c>
      <c r="C45" s="1" t="s">
        <v>114</v>
      </c>
      <c r="D45" s="1">
        <v>1984</v>
      </c>
      <c r="E45" s="2" t="s">
        <v>141</v>
      </c>
      <c r="F45" s="1">
        <v>3817</v>
      </c>
      <c r="G45" s="1">
        <v>1660000</v>
      </c>
      <c r="H45" s="1">
        <v>1950557</v>
      </c>
      <c r="I45" s="1">
        <v>2063610</v>
      </c>
      <c r="J45" s="1">
        <v>2246691</v>
      </c>
      <c r="K45" s="1">
        <f>city_population[[#This Row],[Population_2022]] / city_population[[#This Row],[Area_km2]]</f>
        <v>588.60125753209331</v>
      </c>
      <c r="L45" s="1">
        <f>city_population[[#This Row],[Population_2022]] - city_population[[#This Row],[Population_1991]]</f>
        <v>586691</v>
      </c>
      <c r="M45" s="1">
        <f>city_population[[#This Row],[Population_Growth_Abs]] / city_population[[#This Row],[Population_1991]]</f>
        <v>0.35342831325301205</v>
      </c>
    </row>
    <row r="46" spans="1:13" x14ac:dyDescent="0.25">
      <c r="A46" s="2" t="s">
        <v>142</v>
      </c>
      <c r="B46" s="1" t="s">
        <v>143</v>
      </c>
      <c r="C46" s="1" t="s">
        <v>144</v>
      </c>
      <c r="D46" s="1">
        <v>1821</v>
      </c>
      <c r="E46" s="2" t="s">
        <v>145</v>
      </c>
      <c r="F46" s="1">
        <v>2899</v>
      </c>
      <c r="G46" s="1">
        <v>2799000</v>
      </c>
      <c r="H46" s="1">
        <v>3151389</v>
      </c>
      <c r="I46" s="1">
        <v>3539293</v>
      </c>
      <c r="J46" s="1">
        <v>3815192</v>
      </c>
      <c r="K46" s="1">
        <f>city_population[[#This Row],[Population_2022]] / city_population[[#This Row],[Area_km2]]</f>
        <v>1316.037254225595</v>
      </c>
      <c r="L46" s="1">
        <f>city_population[[#This Row],[Population_2022]] - city_population[[#This Row],[Population_1991]]</f>
        <v>1016192</v>
      </c>
      <c r="M46" s="1">
        <f>city_population[[#This Row],[Population_Growth_Abs]] / city_population[[#This Row],[Population_1991]]</f>
        <v>0.36305537692032869</v>
      </c>
    </row>
    <row r="47" spans="1:13" x14ac:dyDescent="0.25">
      <c r="A47" s="2" t="s">
        <v>146</v>
      </c>
      <c r="B47" s="1" t="s">
        <v>147</v>
      </c>
      <c r="C47" s="1" t="s">
        <v>144</v>
      </c>
      <c r="D47" s="1">
        <v>1984</v>
      </c>
      <c r="E47" s="2" t="s">
        <v>148</v>
      </c>
      <c r="F47" s="1">
        <v>1703</v>
      </c>
      <c r="G47" s="1">
        <v>1231000</v>
      </c>
      <c r="H47" s="1">
        <v>1492192</v>
      </c>
      <c r="I47" s="1">
        <v>1714249</v>
      </c>
      <c r="J47" s="1">
        <v>1875290</v>
      </c>
      <c r="K47" s="1">
        <f>city_population[[#This Row],[Population_2022]] / city_population[[#This Row],[Area_km2]]</f>
        <v>1101.1685261303583</v>
      </c>
      <c r="L47" s="1">
        <f>city_population[[#This Row],[Population_2022]] - city_population[[#This Row],[Population_1991]]</f>
        <v>644290</v>
      </c>
      <c r="M47" s="1">
        <f>city_population[[#This Row],[Population_Growth_Abs]] / city_population[[#This Row],[Population_1991]]</f>
        <v>0.52338748984565397</v>
      </c>
    </row>
    <row r="48" spans="1:13" x14ac:dyDescent="0.25">
      <c r="A48" s="2" t="s">
        <v>149</v>
      </c>
      <c r="B48" s="1" t="s">
        <v>150</v>
      </c>
      <c r="C48" s="1" t="s">
        <v>144</v>
      </c>
      <c r="D48" s="1">
        <v>1983</v>
      </c>
      <c r="E48" s="2" t="s">
        <v>151</v>
      </c>
      <c r="F48" s="1">
        <v>1012</v>
      </c>
      <c r="G48" s="1">
        <v>802000</v>
      </c>
      <c r="H48" s="1">
        <v>885909</v>
      </c>
      <c r="I48" s="1">
        <v>950440</v>
      </c>
      <c r="J48" s="1">
        <v>977150</v>
      </c>
      <c r="K48" s="1">
        <f>city_population[[#This Row],[Population_2022]] / city_population[[#This Row],[Area_km2]]</f>
        <v>965.56324110671937</v>
      </c>
      <c r="L48" s="1">
        <f>city_population[[#This Row],[Population_2022]] - city_population[[#This Row],[Population_1991]]</f>
        <v>175150</v>
      </c>
      <c r="M48" s="1">
        <f>city_population[[#This Row],[Population_Growth_Abs]] / city_population[[#This Row],[Population_1991]]</f>
        <v>0.21839152119700747</v>
      </c>
    </row>
    <row r="49" spans="1:13" x14ac:dyDescent="0.25">
      <c r="A49" s="2" t="s">
        <v>152</v>
      </c>
      <c r="B49" s="1" t="s">
        <v>153</v>
      </c>
      <c r="C49" s="1" t="s">
        <v>144</v>
      </c>
      <c r="D49" s="1">
        <v>1984</v>
      </c>
      <c r="E49" s="2" t="s">
        <v>154</v>
      </c>
      <c r="F49" s="1">
        <v>3436</v>
      </c>
      <c r="G49" s="1">
        <v>2251000</v>
      </c>
      <c r="H49" s="1">
        <v>2500932</v>
      </c>
      <c r="I49" s="1">
        <v>2701906</v>
      </c>
      <c r="J49" s="1">
        <v>2844921</v>
      </c>
      <c r="K49" s="1">
        <f>city_population[[#This Row],[Population_2022]] / city_population[[#This Row],[Area_km2]]</f>
        <v>827.97467986030267</v>
      </c>
      <c r="L49" s="1">
        <f>city_population[[#This Row],[Population_2022]] - city_population[[#This Row],[Population_1991]]</f>
        <v>593921</v>
      </c>
      <c r="M49" s="1">
        <f>city_population[[#This Row],[Population_Growth_Abs]] / city_population[[#This Row],[Population_1991]]</f>
        <v>0.26384762327854289</v>
      </c>
    </row>
    <row r="50" spans="1:13" x14ac:dyDescent="0.25">
      <c r="A50" s="2" t="s">
        <v>155</v>
      </c>
      <c r="B50" s="1" t="s">
        <v>156</v>
      </c>
      <c r="C50" s="1" t="s">
        <v>144</v>
      </c>
      <c r="D50" s="1">
        <v>1984</v>
      </c>
      <c r="E50" s="2" t="s">
        <v>157</v>
      </c>
      <c r="F50" s="1">
        <v>1900</v>
      </c>
      <c r="G50" s="1">
        <v>1455000</v>
      </c>
      <c r="H50" s="1">
        <v>1591944</v>
      </c>
      <c r="I50" s="1">
        <v>1774832</v>
      </c>
      <c r="J50" s="1">
        <v>1900213</v>
      </c>
      <c r="K50" s="1">
        <f>city_population[[#This Row],[Population_2022]] / city_population[[#This Row],[Area_km2]]</f>
        <v>1000.1121052631579</v>
      </c>
      <c r="L50" s="1">
        <f>city_population[[#This Row],[Population_2022]] - city_population[[#This Row],[Population_1991]]</f>
        <v>445213</v>
      </c>
      <c r="M50" s="1">
        <f>city_population[[#This Row],[Population_Growth_Abs]] / city_population[[#This Row],[Population_1991]]</f>
        <v>0.30598831615120275</v>
      </c>
    </row>
    <row r="51" spans="1:13" x14ac:dyDescent="0.25">
      <c r="A51" s="2" t="s">
        <v>158</v>
      </c>
      <c r="B51" s="1" t="s">
        <v>159</v>
      </c>
      <c r="C51" s="1" t="s">
        <v>144</v>
      </c>
      <c r="D51" s="1">
        <v>1832</v>
      </c>
      <c r="E51" s="2" t="s">
        <v>160</v>
      </c>
      <c r="F51" s="1">
        <v>2376</v>
      </c>
      <c r="G51" s="1">
        <v>2017000</v>
      </c>
      <c r="H51" s="1">
        <v>2278141</v>
      </c>
      <c r="I51" s="1">
        <v>2624683</v>
      </c>
      <c r="J51" s="1">
        <v>2972654</v>
      </c>
      <c r="K51" s="1">
        <f>city_population[[#This Row],[Population_2022]] / city_population[[#This Row],[Area_km2]]</f>
        <v>1251.1170033670035</v>
      </c>
      <c r="L51" s="1">
        <f>city_population[[#This Row],[Population_2022]] - city_population[[#This Row],[Population_1991]]</f>
        <v>955654</v>
      </c>
      <c r="M51" s="1">
        <f>city_population[[#This Row],[Population_Growth_Abs]] / city_population[[#This Row],[Population_1991]]</f>
        <v>0.47379970252850767</v>
      </c>
    </row>
    <row r="52" spans="1:13" x14ac:dyDescent="0.25">
      <c r="A52" s="2" t="s">
        <v>144</v>
      </c>
      <c r="B52" s="1" t="s">
        <v>161</v>
      </c>
      <c r="C52" s="1" t="s">
        <v>144</v>
      </c>
      <c r="D52" s="1">
        <v>1772</v>
      </c>
      <c r="E52" s="2" t="s">
        <v>162</v>
      </c>
      <c r="F52" s="1">
        <v>2425</v>
      </c>
      <c r="G52" s="1">
        <v>1988000</v>
      </c>
      <c r="H52" s="1">
        <v>2410086</v>
      </c>
      <c r="I52" s="1">
        <v>2699688</v>
      </c>
      <c r="J52" s="1">
        <v>2978156</v>
      </c>
      <c r="K52" s="1">
        <f>city_population[[#This Row],[Population_2022]] / city_population[[#This Row],[Area_km2]]</f>
        <v>1228.1055670103092</v>
      </c>
      <c r="L52" s="1">
        <f>city_population[[#This Row],[Population_2022]] - city_population[[#This Row],[Population_1991]]</f>
        <v>990156</v>
      </c>
      <c r="M52" s="1">
        <f>city_population[[#This Row],[Population_Growth_Abs]] / city_population[[#This Row],[Population_1991]]</f>
        <v>0.49806639839034206</v>
      </c>
    </row>
    <row r="53" spans="1:13" x14ac:dyDescent="0.25">
      <c r="A53" s="2" t="s">
        <v>163</v>
      </c>
      <c r="B53" s="1" t="s">
        <v>164</v>
      </c>
      <c r="C53" s="1" t="s">
        <v>144</v>
      </c>
      <c r="D53" s="1">
        <v>1984</v>
      </c>
      <c r="E53" s="2" t="s">
        <v>165</v>
      </c>
      <c r="F53" s="1">
        <v>2402</v>
      </c>
      <c r="G53" s="1">
        <v>2374000</v>
      </c>
      <c r="H53" s="1">
        <v>2818739</v>
      </c>
      <c r="I53" s="1">
        <v>3220812</v>
      </c>
      <c r="J53" s="1">
        <v>3430443</v>
      </c>
      <c r="K53" s="1">
        <f>city_population[[#This Row],[Population_2022]] / city_population[[#This Row],[Area_km2]]</f>
        <v>1428.1611157368859</v>
      </c>
      <c r="L53" s="1">
        <f>city_population[[#This Row],[Population_2022]] - city_population[[#This Row],[Population_1991]]</f>
        <v>1056443</v>
      </c>
      <c r="M53" s="1">
        <f>city_population[[#This Row],[Population_Growth_Abs]] / city_population[[#This Row],[Population_1991]]</f>
        <v>0.44500547598989049</v>
      </c>
    </row>
    <row r="54" spans="1:13" x14ac:dyDescent="0.25">
      <c r="A54" s="2" t="s">
        <v>166</v>
      </c>
      <c r="B54" s="1" t="s">
        <v>167</v>
      </c>
      <c r="C54" s="1" t="s">
        <v>168</v>
      </c>
      <c r="D54" s="1">
        <v>1786</v>
      </c>
      <c r="E54" s="2" t="s">
        <v>169</v>
      </c>
      <c r="F54" s="1">
        <v>3444</v>
      </c>
      <c r="G54" s="1">
        <v>2371000</v>
      </c>
      <c r="H54" s="1">
        <v>2765797</v>
      </c>
      <c r="I54" s="1">
        <v>3109626</v>
      </c>
      <c r="J54" s="1">
        <v>3392251</v>
      </c>
      <c r="K54" s="1">
        <f>city_population[[#This Row],[Population_2022]] / city_population[[#This Row],[Area_km2]]</f>
        <v>984.97415795586528</v>
      </c>
      <c r="L54" s="1">
        <f>city_population[[#This Row],[Population_2022]] - city_population[[#This Row],[Population_1991]]</f>
        <v>1021251</v>
      </c>
      <c r="M54" s="1">
        <f>city_population[[#This Row],[Population_Growth_Abs]] / city_population[[#This Row],[Population_1991]]</f>
        <v>0.43072585407001263</v>
      </c>
    </row>
    <row r="55" spans="1:13" x14ac:dyDescent="0.25">
      <c r="A55" s="2" t="s">
        <v>170</v>
      </c>
      <c r="B55" s="1" t="s">
        <v>171</v>
      </c>
      <c r="C55" s="1" t="s">
        <v>168</v>
      </c>
      <c r="D55" s="1">
        <v>1984</v>
      </c>
      <c r="E55" s="2" t="s">
        <v>172</v>
      </c>
      <c r="F55" s="1">
        <v>2115</v>
      </c>
      <c r="G55" s="1">
        <v>2041000</v>
      </c>
      <c r="H55" s="1">
        <v>2235559</v>
      </c>
      <c r="I55" s="1">
        <v>2471680</v>
      </c>
      <c r="J55" s="1">
        <v>2621756</v>
      </c>
      <c r="K55" s="1">
        <f>city_population[[#This Row],[Population_2022]] / city_population[[#This Row],[Area_km2]]</f>
        <v>1239.6009456264776</v>
      </c>
      <c r="L55" s="1">
        <f>city_population[[#This Row],[Population_2022]] - city_population[[#This Row],[Population_1991]]</f>
        <v>580756</v>
      </c>
      <c r="M55" s="1">
        <f>city_population[[#This Row],[Population_Growth_Abs]] / city_population[[#This Row],[Population_1991]]</f>
        <v>0.28454483096521316</v>
      </c>
    </row>
    <row r="56" spans="1:13" x14ac:dyDescent="0.25">
      <c r="A56" s="2" t="s">
        <v>173</v>
      </c>
      <c r="B56" s="1" t="s">
        <v>174</v>
      </c>
      <c r="C56" s="1" t="s">
        <v>168</v>
      </c>
      <c r="D56" s="1">
        <v>1984</v>
      </c>
      <c r="E56" s="2" t="s">
        <v>175</v>
      </c>
      <c r="F56" s="1">
        <v>2245</v>
      </c>
      <c r="G56" s="1">
        <v>1680000</v>
      </c>
      <c r="H56" s="1">
        <v>1873185</v>
      </c>
      <c r="I56" s="1">
        <v>2150974</v>
      </c>
      <c r="J56" s="1">
        <v>2383268</v>
      </c>
      <c r="K56" s="1">
        <f>city_population[[#This Row],[Population_2022]] / city_population[[#This Row],[Area_km2]]</f>
        <v>1061.5893095768374</v>
      </c>
      <c r="L56" s="1">
        <f>city_population[[#This Row],[Population_2022]] - city_population[[#This Row],[Population_1991]]</f>
        <v>703268</v>
      </c>
      <c r="M56" s="1">
        <f>city_population[[#This Row],[Population_Growth_Abs]] / city_population[[#This Row],[Population_1991]]</f>
        <v>0.41861190476190474</v>
      </c>
    </row>
    <row r="57" spans="1:13" x14ac:dyDescent="0.25">
      <c r="A57" s="2" t="s">
        <v>176</v>
      </c>
      <c r="B57" s="1" t="s">
        <v>177</v>
      </c>
      <c r="C57" s="1" t="s">
        <v>168</v>
      </c>
      <c r="D57" s="1">
        <v>1984</v>
      </c>
      <c r="E57" s="2" t="s">
        <v>178</v>
      </c>
      <c r="F57" s="1">
        <v>1247</v>
      </c>
      <c r="G57" s="1">
        <v>999000</v>
      </c>
      <c r="H57" s="1">
        <v>1160226</v>
      </c>
      <c r="I57" s="1">
        <v>1305248</v>
      </c>
      <c r="J57" s="1">
        <v>1461589</v>
      </c>
      <c r="K57" s="1">
        <f>city_population[[#This Row],[Population_2022]] / city_population[[#This Row],[Area_km2]]</f>
        <v>1172.0842020850041</v>
      </c>
      <c r="L57" s="1">
        <f>city_population[[#This Row],[Population_2022]] - city_population[[#This Row],[Population_1991]]</f>
        <v>462589</v>
      </c>
      <c r="M57" s="1">
        <f>city_population[[#This Row],[Population_Growth_Abs]] / city_population[[#This Row],[Population_1991]]</f>
        <v>0.46305205205205208</v>
      </c>
    </row>
    <row r="58" spans="1:13" x14ac:dyDescent="0.25">
      <c r="A58" s="2" t="s">
        <v>179</v>
      </c>
      <c r="B58" s="1" t="s">
        <v>180</v>
      </c>
      <c r="C58" s="1" t="s">
        <v>168</v>
      </c>
      <c r="D58" s="1">
        <v>1984</v>
      </c>
      <c r="E58" s="2" t="s">
        <v>181</v>
      </c>
      <c r="F58" s="1">
        <v>1547</v>
      </c>
      <c r="G58" s="1">
        <v>1416000</v>
      </c>
      <c r="H58" s="1">
        <v>1644500</v>
      </c>
      <c r="I58" s="1">
        <v>1907497</v>
      </c>
      <c r="J58" s="1">
        <v>2141180</v>
      </c>
      <c r="K58" s="1">
        <f>city_population[[#This Row],[Population_2022]] / city_population[[#This Row],[Area_km2]]</f>
        <v>1384.0853264382677</v>
      </c>
      <c r="L58" s="1">
        <f>city_population[[#This Row],[Population_2022]] - city_population[[#This Row],[Population_1991]]</f>
        <v>725180</v>
      </c>
      <c r="M58" s="1">
        <f>city_population[[#This Row],[Population_Growth_Abs]] / city_population[[#This Row],[Population_1991]]</f>
        <v>0.51213276836158195</v>
      </c>
    </row>
    <row r="59" spans="1:13" x14ac:dyDescent="0.25">
      <c r="A59" s="2" t="s">
        <v>182</v>
      </c>
      <c r="B59" s="1" t="s">
        <v>183</v>
      </c>
      <c r="C59" s="1" t="s">
        <v>168</v>
      </c>
      <c r="D59" s="1">
        <v>1984</v>
      </c>
      <c r="E59" s="2" t="s">
        <v>184</v>
      </c>
      <c r="F59" s="1">
        <v>1405</v>
      </c>
      <c r="G59" s="1">
        <v>746000</v>
      </c>
      <c r="H59" s="1">
        <v>874428</v>
      </c>
      <c r="I59" s="1">
        <v>1026139</v>
      </c>
      <c r="J59" s="1">
        <v>1207252</v>
      </c>
      <c r="K59" s="1">
        <f>city_population[[#This Row],[Population_2022]] / city_population[[#This Row],[Area_km2]]</f>
        <v>859.25409252669044</v>
      </c>
      <c r="L59" s="1">
        <f>city_population[[#This Row],[Population_2022]] - city_population[[#This Row],[Population_1991]]</f>
        <v>461252</v>
      </c>
      <c r="M59" s="1">
        <f>city_population[[#This Row],[Population_Growth_Abs]] / city_population[[#This Row],[Population_1991]]</f>
        <v>0.61830026809651473</v>
      </c>
    </row>
    <row r="60" spans="1:13" x14ac:dyDescent="0.25">
      <c r="A60" s="2" t="s">
        <v>168</v>
      </c>
      <c r="B60" s="1" t="s">
        <v>185</v>
      </c>
      <c r="C60" s="1" t="s">
        <v>168</v>
      </c>
      <c r="D60" s="1">
        <v>1772</v>
      </c>
      <c r="E60" s="2" t="s">
        <v>186</v>
      </c>
      <c r="F60" s="1">
        <v>2401</v>
      </c>
      <c r="G60" s="1">
        <v>2271000</v>
      </c>
      <c r="H60" s="1">
        <v>2660727</v>
      </c>
      <c r="I60" s="1">
        <v>2996334</v>
      </c>
      <c r="J60" s="1">
        <v>3243247</v>
      </c>
      <c r="K60" s="1">
        <f>city_population[[#This Row],[Population_2022]] / city_population[[#This Row],[Area_km2]]</f>
        <v>1350.7900874635568</v>
      </c>
      <c r="L60" s="1">
        <f>city_population[[#This Row],[Population_2022]] - city_population[[#This Row],[Population_1991]]</f>
        <v>972247</v>
      </c>
      <c r="M60" s="1">
        <f>city_population[[#This Row],[Population_Growth_Abs]] / city_population[[#This Row],[Population_1991]]</f>
        <v>0.42811404667547337</v>
      </c>
    </row>
    <row r="61" spans="1:13" x14ac:dyDescent="0.25">
      <c r="A61" s="2" t="s">
        <v>187</v>
      </c>
      <c r="B61" s="1" t="s">
        <v>188</v>
      </c>
      <c r="C61" s="1" t="s">
        <v>168</v>
      </c>
      <c r="D61" s="1">
        <v>1984</v>
      </c>
      <c r="E61" s="2" t="s">
        <v>189</v>
      </c>
      <c r="F61" s="1">
        <v>1782</v>
      </c>
      <c r="G61" s="1">
        <v>1059000</v>
      </c>
      <c r="H61" s="1">
        <v>1270081</v>
      </c>
      <c r="I61" s="1">
        <v>1444783</v>
      </c>
      <c r="J61" s="1">
        <v>1569529</v>
      </c>
      <c r="K61" s="1">
        <f>city_population[[#This Row],[Population_2022]] / city_population[[#This Row],[Area_km2]]</f>
        <v>880.76823793490462</v>
      </c>
      <c r="L61" s="1">
        <f>city_population[[#This Row],[Population_2022]] - city_population[[#This Row],[Population_1991]]</f>
        <v>510529</v>
      </c>
      <c r="M61" s="1">
        <f>city_population[[#This Row],[Population_Growth_Abs]] / city_population[[#This Row],[Population_1991]]</f>
        <v>0.4820859301227573</v>
      </c>
    </row>
    <row r="62" spans="1:13" x14ac:dyDescent="0.25">
      <c r="A62" s="2" t="s">
        <v>190</v>
      </c>
      <c r="B62" s="1" t="s">
        <v>191</v>
      </c>
      <c r="C62" s="1" t="s">
        <v>192</v>
      </c>
      <c r="D62" s="1">
        <v>1984</v>
      </c>
      <c r="E62" s="2" t="s">
        <v>193</v>
      </c>
      <c r="F62" s="1">
        <v>2637</v>
      </c>
      <c r="G62" s="1">
        <v>1612000</v>
      </c>
      <c r="H62" s="1">
        <v>1838683</v>
      </c>
      <c r="I62" s="1">
        <v>2171065</v>
      </c>
      <c r="J62" s="1">
        <v>2440151</v>
      </c>
      <c r="K62" s="1">
        <f>city_population[[#This Row],[Population_2022]] / city_population[[#This Row],[Area_km2]]</f>
        <v>925.35115661736825</v>
      </c>
      <c r="L62" s="1">
        <f>city_population[[#This Row],[Population_2022]] - city_population[[#This Row],[Population_1991]]</f>
        <v>828151</v>
      </c>
      <c r="M62" s="1">
        <f>city_population[[#This Row],[Population_Growth_Abs]] / city_population[[#This Row],[Population_1991]]</f>
        <v>0.51374131513647647</v>
      </c>
    </row>
    <row r="63" spans="1:13" x14ac:dyDescent="0.25">
      <c r="A63" s="2" t="s">
        <v>194</v>
      </c>
      <c r="B63" s="1" t="s">
        <v>195</v>
      </c>
      <c r="C63" s="1" t="s">
        <v>192</v>
      </c>
      <c r="D63" s="1">
        <v>1984</v>
      </c>
      <c r="E63" s="2" t="s">
        <v>196</v>
      </c>
      <c r="F63" s="1">
        <v>2799</v>
      </c>
      <c r="G63" s="1">
        <v>1454000</v>
      </c>
      <c r="H63" s="1">
        <v>1686631</v>
      </c>
      <c r="I63" s="1">
        <v>1994252</v>
      </c>
      <c r="J63" s="1">
        <v>2196601</v>
      </c>
      <c r="K63" s="1">
        <f>city_population[[#This Row],[Population_2022]] / city_population[[#This Row],[Area_km2]]</f>
        <v>784.7806359414077</v>
      </c>
      <c r="L63" s="1">
        <f>city_population[[#This Row],[Population_2022]] - city_population[[#This Row],[Population_1991]]</f>
        <v>742601</v>
      </c>
      <c r="M63" s="1">
        <f>city_population[[#This Row],[Population_Growth_Abs]] / city_population[[#This Row],[Population_1991]]</f>
        <v>0.51072971114167809</v>
      </c>
    </row>
    <row r="64" spans="1:13" x14ac:dyDescent="0.25">
      <c r="A64" s="2" t="s">
        <v>197</v>
      </c>
      <c r="B64" s="1" t="s">
        <v>198</v>
      </c>
      <c r="C64" s="1" t="s">
        <v>192</v>
      </c>
      <c r="D64" s="1">
        <v>1984</v>
      </c>
      <c r="E64" s="2" t="s">
        <v>199</v>
      </c>
      <c r="F64" s="1">
        <v>3747</v>
      </c>
      <c r="G64" s="1">
        <v>1802000</v>
      </c>
      <c r="H64" s="1">
        <v>2107281</v>
      </c>
      <c r="I64" s="1">
        <v>2564540</v>
      </c>
      <c r="J64" s="1">
        <v>2788358</v>
      </c>
      <c r="K64" s="1">
        <f>city_population[[#This Row],[Population_2022]] / city_population[[#This Row],[Area_km2]]</f>
        <v>744.15745930077401</v>
      </c>
      <c r="L64" s="1">
        <f>city_population[[#This Row],[Population_2022]] - city_population[[#This Row],[Population_1991]]</f>
        <v>986358</v>
      </c>
      <c r="M64" s="1">
        <f>city_population[[#This Row],[Population_Growth_Abs]] / city_population[[#This Row],[Population_1991]]</f>
        <v>0.54736847946725864</v>
      </c>
    </row>
    <row r="65" spans="1:13" x14ac:dyDescent="0.25">
      <c r="A65" s="2" t="s">
        <v>192</v>
      </c>
      <c r="B65" s="1" t="s">
        <v>200</v>
      </c>
      <c r="C65" s="1" t="s">
        <v>192</v>
      </c>
      <c r="D65" s="1">
        <v>1782</v>
      </c>
      <c r="E65" s="2" t="s">
        <v>201</v>
      </c>
      <c r="F65" s="1">
        <v>3452</v>
      </c>
      <c r="G65" s="1">
        <v>2282000</v>
      </c>
      <c r="H65" s="1">
        <v>2675346</v>
      </c>
      <c r="I65" s="1">
        <v>3567139</v>
      </c>
      <c r="J65" s="1">
        <v>3990003</v>
      </c>
      <c r="K65" s="1">
        <f>city_population[[#This Row],[Population_2022]] / city_population[[#This Row],[Area_km2]]</f>
        <v>1155.8525492468134</v>
      </c>
      <c r="L65" s="1">
        <f>city_population[[#This Row],[Population_2022]] - city_population[[#This Row],[Population_1991]]</f>
        <v>1708003</v>
      </c>
      <c r="M65" s="1">
        <f>city_population[[#This Row],[Population_Growth_Abs]] / city_population[[#This Row],[Population_1991]]</f>
        <v>0.74846757230499561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33FC-C252-4B11-8E47-47180D9F17DC}">
  <sheetPr codeName="Sheet1"/>
  <dimension ref="A3:B16"/>
  <sheetViews>
    <sheetView workbookViewId="0">
      <selection activeCell="L10" sqref="L10"/>
    </sheetView>
  </sheetViews>
  <sheetFormatPr defaultRowHeight="15" x14ac:dyDescent="0.25"/>
  <cols>
    <col min="1" max="1" width="12.42578125" bestFit="1" customWidth="1"/>
    <col min="2" max="2" width="35.28515625" bestFit="1" customWidth="1"/>
  </cols>
  <sheetData>
    <row r="3" spans="1:2" x14ac:dyDescent="0.25">
      <c r="A3" s="4" t="s">
        <v>0</v>
      </c>
      <c r="B3" t="s">
        <v>208</v>
      </c>
    </row>
    <row r="4" spans="1:2" x14ac:dyDescent="0.25">
      <c r="A4" s="5" t="s">
        <v>61</v>
      </c>
      <c r="B4" s="6">
        <v>15210851</v>
      </c>
    </row>
    <row r="5" spans="1:2" x14ac:dyDescent="0.25">
      <c r="A5" s="5" t="s">
        <v>67</v>
      </c>
      <c r="B5" s="6">
        <v>5433538</v>
      </c>
    </row>
    <row r="6" spans="1:2" x14ac:dyDescent="0.25">
      <c r="A6" s="5" t="s">
        <v>97</v>
      </c>
      <c r="B6" s="6">
        <v>4168083</v>
      </c>
    </row>
    <row r="7" spans="1:2" x14ac:dyDescent="0.25">
      <c r="A7" s="5" t="s">
        <v>85</v>
      </c>
      <c r="B7" s="6">
        <v>4035461</v>
      </c>
    </row>
    <row r="8" spans="1:2" x14ac:dyDescent="0.25">
      <c r="A8" s="5" t="s">
        <v>73</v>
      </c>
      <c r="B8" s="6">
        <v>3373219</v>
      </c>
    </row>
    <row r="9" spans="1:2" x14ac:dyDescent="0.25">
      <c r="A9" s="5" t="s">
        <v>88</v>
      </c>
      <c r="B9" s="6">
        <v>2667968</v>
      </c>
    </row>
    <row r="10" spans="1:2" x14ac:dyDescent="0.25">
      <c r="A10" s="5" t="s">
        <v>64</v>
      </c>
      <c r="B10" s="6">
        <v>2232772</v>
      </c>
    </row>
    <row r="11" spans="1:2" x14ac:dyDescent="0.25">
      <c r="A11" s="5" t="s">
        <v>82</v>
      </c>
      <c r="B11" s="6">
        <v>1677941</v>
      </c>
    </row>
    <row r="12" spans="1:2" x14ac:dyDescent="0.25">
      <c r="A12" s="5" t="s">
        <v>79</v>
      </c>
      <c r="B12" s="6">
        <v>1608372</v>
      </c>
    </row>
    <row r="13" spans="1:2" x14ac:dyDescent="0.25">
      <c r="A13" s="5" t="s">
        <v>70</v>
      </c>
      <c r="B13" s="6">
        <v>1336907</v>
      </c>
    </row>
    <row r="14" spans="1:2" x14ac:dyDescent="0.25">
      <c r="A14" s="5" t="s">
        <v>94</v>
      </c>
      <c r="B14" s="6">
        <v>1336396</v>
      </c>
    </row>
    <row r="15" spans="1:2" x14ac:dyDescent="0.25">
      <c r="A15" s="5" t="s">
        <v>76</v>
      </c>
      <c r="B15" s="6">
        <v>1334811</v>
      </c>
    </row>
    <row r="16" spans="1:2" x14ac:dyDescent="0.25">
      <c r="A16" s="5" t="s">
        <v>91</v>
      </c>
      <c r="B16" s="6">
        <v>1228267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1F93-F73F-4B1A-AE8F-B919011F76EE}">
  <sheetPr codeName="Sheet2"/>
  <dimension ref="A3:J8"/>
  <sheetViews>
    <sheetView workbookViewId="0">
      <selection activeCell="A6" sqref="A3:J8"/>
    </sheetView>
  </sheetViews>
  <sheetFormatPr defaultRowHeight="15" x14ac:dyDescent="0.25"/>
  <cols>
    <col min="1" max="1" width="38.28515625" bestFit="1" customWidth="1"/>
    <col min="2" max="2" width="16.85546875" bestFit="1" customWidth="1"/>
    <col min="3" max="3" width="11.5703125" bestFit="1" customWidth="1"/>
    <col min="4" max="5" width="9" bestFit="1" customWidth="1"/>
    <col min="6" max="6" width="12.42578125" bestFit="1" customWidth="1"/>
    <col min="7" max="9" width="9" bestFit="1" customWidth="1"/>
    <col min="10" max="10" width="11.28515625" bestFit="1" customWidth="1"/>
  </cols>
  <sheetData>
    <row r="3" spans="1:10" x14ac:dyDescent="0.25">
      <c r="A3" s="4" t="s">
        <v>216</v>
      </c>
      <c r="B3" s="4" t="s">
        <v>215</v>
      </c>
    </row>
    <row r="4" spans="1:10" x14ac:dyDescent="0.25">
      <c r="A4" s="4" t="s">
        <v>206</v>
      </c>
      <c r="B4" t="s">
        <v>11</v>
      </c>
      <c r="C4" t="s">
        <v>30</v>
      </c>
      <c r="D4" t="s">
        <v>61</v>
      </c>
      <c r="E4" t="s">
        <v>114</v>
      </c>
      <c r="F4" t="s">
        <v>102</v>
      </c>
      <c r="G4" t="s">
        <v>144</v>
      </c>
      <c r="H4" t="s">
        <v>168</v>
      </c>
      <c r="I4" t="s">
        <v>192</v>
      </c>
      <c r="J4" t="s">
        <v>207</v>
      </c>
    </row>
    <row r="5" spans="1:10" x14ac:dyDescent="0.25">
      <c r="A5" s="5" t="s">
        <v>211</v>
      </c>
      <c r="B5">
        <v>7757000</v>
      </c>
      <c r="C5">
        <v>21865000</v>
      </c>
      <c r="D5">
        <v>24931000</v>
      </c>
      <c r="E5">
        <v>13243000</v>
      </c>
      <c r="F5">
        <v>9010000</v>
      </c>
      <c r="G5">
        <v>14917000</v>
      </c>
      <c r="H5">
        <v>12583000</v>
      </c>
      <c r="I5">
        <v>7150000</v>
      </c>
      <c r="J5">
        <v>111456000</v>
      </c>
    </row>
    <row r="6" spans="1:10" x14ac:dyDescent="0.25">
      <c r="A6" s="5" t="s">
        <v>212</v>
      </c>
      <c r="B6">
        <v>8549026</v>
      </c>
      <c r="C6">
        <v>25505197</v>
      </c>
      <c r="D6">
        <v>30806667</v>
      </c>
      <c r="E6">
        <v>15418650</v>
      </c>
      <c r="F6">
        <v>10321282</v>
      </c>
      <c r="G6">
        <v>17129332</v>
      </c>
      <c r="H6">
        <v>14484503</v>
      </c>
      <c r="I6">
        <v>8307941</v>
      </c>
      <c r="J6">
        <v>130522598</v>
      </c>
    </row>
    <row r="7" spans="1:10" x14ac:dyDescent="0.25">
      <c r="A7" s="5" t="s">
        <v>213</v>
      </c>
      <c r="B7">
        <v>8652321</v>
      </c>
      <c r="C7">
        <v>29553855</v>
      </c>
      <c r="D7">
        <v>37893924</v>
      </c>
      <c r="E7">
        <v>16309307</v>
      </c>
      <c r="F7">
        <v>11427765</v>
      </c>
      <c r="G7">
        <v>19225903</v>
      </c>
      <c r="H7">
        <v>16412281</v>
      </c>
      <c r="I7">
        <v>10296996</v>
      </c>
      <c r="J7">
        <v>149772352</v>
      </c>
    </row>
    <row r="8" spans="1:10" x14ac:dyDescent="0.25">
      <c r="A8" s="5" t="s">
        <v>214</v>
      </c>
      <c r="B8">
        <v>9325821</v>
      </c>
      <c r="C8">
        <v>34178611</v>
      </c>
      <c r="D8">
        <v>45644586</v>
      </c>
      <c r="E8">
        <v>17813219</v>
      </c>
      <c r="F8">
        <v>12637472</v>
      </c>
      <c r="G8">
        <v>20794019</v>
      </c>
      <c r="H8">
        <v>18020072</v>
      </c>
      <c r="I8">
        <v>11415113</v>
      </c>
      <c r="J8">
        <v>169828913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EEA6-5E73-4FE8-B49B-A7DB7A13B189}">
  <sheetPr codeName="Sheet3"/>
  <dimension ref="A1:K257"/>
  <sheetViews>
    <sheetView workbookViewId="0">
      <selection activeCell="N19" sqref="N19"/>
    </sheetView>
  </sheetViews>
  <sheetFormatPr defaultRowHeight="15" x14ac:dyDescent="0.25"/>
  <cols>
    <col min="1" max="1" width="18.140625" bestFit="1" customWidth="1"/>
    <col min="2" max="2" width="8" bestFit="1" customWidth="1"/>
    <col min="3" max="3" width="12.140625" bestFit="1" customWidth="1"/>
    <col min="4" max="4" width="13.85546875" bestFit="1" customWidth="1"/>
    <col min="5" max="5" width="20.42578125" bestFit="1" customWidth="1"/>
    <col min="6" max="6" width="11.85546875" bestFit="1" customWidth="1"/>
    <col min="7" max="7" width="26.140625" bestFit="1" customWidth="1"/>
    <col min="8" max="8" width="25" bestFit="1" customWidth="1"/>
    <col min="9" max="9" width="24.5703125" bestFit="1" customWidth="1"/>
    <col min="10" max="10" width="7.28515625" bestFit="1" customWidth="1"/>
    <col min="11" max="11" width="13" bestFit="1" customWidth="1"/>
  </cols>
  <sheetData>
    <row r="1" spans="1:11" x14ac:dyDescent="0.25">
      <c r="A1" t="s">
        <v>0</v>
      </c>
      <c r="B1" t="s">
        <v>1</v>
      </c>
      <c r="C1" t="s">
        <v>2</v>
      </c>
      <c r="D1" t="s">
        <v>3</v>
      </c>
      <c r="E1" t="s">
        <v>4</v>
      </c>
      <c r="F1" t="s">
        <v>202</v>
      </c>
      <c r="G1" t="s">
        <v>203</v>
      </c>
      <c r="H1" t="s">
        <v>204</v>
      </c>
      <c r="I1" t="s">
        <v>205</v>
      </c>
      <c r="J1" t="s">
        <v>209</v>
      </c>
      <c r="K1" t="s">
        <v>210</v>
      </c>
    </row>
    <row r="2" spans="1:11" x14ac:dyDescent="0.25">
      <c r="A2" t="s">
        <v>9</v>
      </c>
      <c r="B2" t="s">
        <v>10</v>
      </c>
      <c r="C2" t="s">
        <v>11</v>
      </c>
      <c r="D2">
        <v>1984</v>
      </c>
      <c r="E2" t="s">
        <v>12</v>
      </c>
      <c r="F2">
        <v>1831</v>
      </c>
      <c r="G2">
        <v>565.590387766248</v>
      </c>
      <c r="H2">
        <v>230596</v>
      </c>
      <c r="I2">
        <v>0.28645465838509315</v>
      </c>
      <c r="J2" t="s">
        <v>211</v>
      </c>
      <c r="K2">
        <v>805000</v>
      </c>
    </row>
    <row r="3" spans="1:11" x14ac:dyDescent="0.25">
      <c r="A3" t="s">
        <v>9</v>
      </c>
      <c r="B3" t="s">
        <v>10</v>
      </c>
      <c r="C3" t="s">
        <v>11</v>
      </c>
      <c r="D3">
        <v>1984</v>
      </c>
      <c r="E3" t="s">
        <v>12</v>
      </c>
      <c r="F3">
        <v>1831</v>
      </c>
      <c r="G3">
        <v>565.590387766248</v>
      </c>
      <c r="H3">
        <v>230596</v>
      </c>
      <c r="I3">
        <v>0.28645465838509315</v>
      </c>
      <c r="J3" t="s">
        <v>212</v>
      </c>
      <c r="K3">
        <v>887376</v>
      </c>
    </row>
    <row r="4" spans="1:11" x14ac:dyDescent="0.25">
      <c r="A4" t="s">
        <v>9</v>
      </c>
      <c r="B4" t="s">
        <v>10</v>
      </c>
      <c r="C4" t="s">
        <v>11</v>
      </c>
      <c r="D4">
        <v>1984</v>
      </c>
      <c r="E4" t="s">
        <v>12</v>
      </c>
      <c r="F4">
        <v>1831</v>
      </c>
      <c r="G4">
        <v>565.590387766248</v>
      </c>
      <c r="H4">
        <v>230596</v>
      </c>
      <c r="I4">
        <v>0.28645465838509315</v>
      </c>
      <c r="J4" t="s">
        <v>213</v>
      </c>
      <c r="K4">
        <v>927889</v>
      </c>
    </row>
    <row r="5" spans="1:11" x14ac:dyDescent="0.25">
      <c r="A5" t="s">
        <v>9</v>
      </c>
      <c r="B5" t="s">
        <v>10</v>
      </c>
      <c r="C5" t="s">
        <v>11</v>
      </c>
      <c r="D5">
        <v>1984</v>
      </c>
      <c r="E5" t="s">
        <v>12</v>
      </c>
      <c r="F5">
        <v>1831</v>
      </c>
      <c r="G5">
        <v>565.590387766248</v>
      </c>
      <c r="H5">
        <v>230596</v>
      </c>
      <c r="I5">
        <v>0.28645465838509315</v>
      </c>
      <c r="J5" t="s">
        <v>214</v>
      </c>
      <c r="K5">
        <v>1035596</v>
      </c>
    </row>
    <row r="6" spans="1:11" x14ac:dyDescent="0.25">
      <c r="A6" t="s">
        <v>13</v>
      </c>
      <c r="B6" t="s">
        <v>14</v>
      </c>
      <c r="C6" t="s">
        <v>11</v>
      </c>
      <c r="D6">
        <v>1797</v>
      </c>
      <c r="E6" t="s">
        <v>15</v>
      </c>
      <c r="F6">
        <v>2785</v>
      </c>
      <c r="G6">
        <v>945.85385996409332</v>
      </c>
      <c r="H6">
        <v>335203</v>
      </c>
      <c r="I6">
        <v>0.14580382775119619</v>
      </c>
      <c r="J6" t="s">
        <v>211</v>
      </c>
      <c r="K6">
        <v>2299000</v>
      </c>
    </row>
    <row r="7" spans="1:11" x14ac:dyDescent="0.25">
      <c r="A7" t="s">
        <v>13</v>
      </c>
      <c r="B7" t="s">
        <v>14</v>
      </c>
      <c r="C7" t="s">
        <v>11</v>
      </c>
      <c r="D7">
        <v>1797</v>
      </c>
      <c r="E7" t="s">
        <v>15</v>
      </c>
      <c r="F7">
        <v>2785</v>
      </c>
      <c r="G7">
        <v>945.85385996409332</v>
      </c>
      <c r="H7">
        <v>335203</v>
      </c>
      <c r="I7">
        <v>0.14580382775119619</v>
      </c>
      <c r="J7" t="s">
        <v>212</v>
      </c>
      <c r="K7">
        <v>2465249</v>
      </c>
    </row>
    <row r="8" spans="1:11" x14ac:dyDescent="0.25">
      <c r="A8" t="s">
        <v>13</v>
      </c>
      <c r="B8" t="s">
        <v>14</v>
      </c>
      <c r="C8" t="s">
        <v>11</v>
      </c>
      <c r="D8">
        <v>1797</v>
      </c>
      <c r="E8" t="s">
        <v>15</v>
      </c>
      <c r="F8">
        <v>2785</v>
      </c>
      <c r="G8">
        <v>945.85385996409332</v>
      </c>
      <c r="H8">
        <v>335203</v>
      </c>
      <c r="I8">
        <v>0.14580382775119619</v>
      </c>
      <c r="J8" t="s">
        <v>213</v>
      </c>
      <c r="K8">
        <v>2414729</v>
      </c>
    </row>
    <row r="9" spans="1:11" x14ac:dyDescent="0.25">
      <c r="A9" t="s">
        <v>13</v>
      </c>
      <c r="B9" t="s">
        <v>14</v>
      </c>
      <c r="C9" t="s">
        <v>11</v>
      </c>
      <c r="D9">
        <v>1797</v>
      </c>
      <c r="E9" t="s">
        <v>15</v>
      </c>
      <c r="F9">
        <v>2785</v>
      </c>
      <c r="G9">
        <v>945.85385996409332</v>
      </c>
      <c r="H9">
        <v>335203</v>
      </c>
      <c r="I9">
        <v>0.14580382775119619</v>
      </c>
      <c r="J9" t="s">
        <v>214</v>
      </c>
      <c r="K9">
        <v>2634203</v>
      </c>
    </row>
    <row r="10" spans="1:11" x14ac:dyDescent="0.25">
      <c r="A10" t="s">
        <v>16</v>
      </c>
      <c r="B10" t="s">
        <v>17</v>
      </c>
      <c r="C10" t="s">
        <v>11</v>
      </c>
      <c r="D10">
        <v>1984</v>
      </c>
      <c r="E10" t="s">
        <v>18</v>
      </c>
      <c r="F10">
        <v>3403</v>
      </c>
      <c r="G10">
        <v>581.97237731413463</v>
      </c>
      <c r="H10">
        <v>448452</v>
      </c>
      <c r="I10">
        <v>0.29272323759791125</v>
      </c>
      <c r="J10" t="s">
        <v>211</v>
      </c>
      <c r="K10">
        <v>1532000</v>
      </c>
    </row>
    <row r="11" spans="1:11" x14ac:dyDescent="0.25">
      <c r="A11" t="s">
        <v>16</v>
      </c>
      <c r="B11" t="s">
        <v>17</v>
      </c>
      <c r="C11" t="s">
        <v>11</v>
      </c>
      <c r="D11">
        <v>1984</v>
      </c>
      <c r="E11" t="s">
        <v>18</v>
      </c>
      <c r="F11">
        <v>3403</v>
      </c>
      <c r="G11">
        <v>581.97237731413463</v>
      </c>
      <c r="H11">
        <v>448452</v>
      </c>
      <c r="I11">
        <v>0.29272323759791125</v>
      </c>
      <c r="J11" t="s">
        <v>212</v>
      </c>
      <c r="K11">
        <v>1781043</v>
      </c>
    </row>
    <row r="12" spans="1:11" x14ac:dyDescent="0.25">
      <c r="A12" t="s">
        <v>16</v>
      </c>
      <c r="B12" t="s">
        <v>17</v>
      </c>
      <c r="C12" t="s">
        <v>11</v>
      </c>
      <c r="D12">
        <v>1984</v>
      </c>
      <c r="E12" t="s">
        <v>18</v>
      </c>
      <c r="F12">
        <v>3403</v>
      </c>
      <c r="G12">
        <v>581.97237731413463</v>
      </c>
      <c r="H12">
        <v>448452</v>
      </c>
      <c r="I12">
        <v>0.29272323759791125</v>
      </c>
      <c r="J12" t="s">
        <v>213</v>
      </c>
      <c r="K12">
        <v>1846351</v>
      </c>
    </row>
    <row r="13" spans="1:11" x14ac:dyDescent="0.25">
      <c r="A13" t="s">
        <v>16</v>
      </c>
      <c r="B13" t="s">
        <v>17</v>
      </c>
      <c r="C13" t="s">
        <v>11</v>
      </c>
      <c r="D13">
        <v>1984</v>
      </c>
      <c r="E13" t="s">
        <v>18</v>
      </c>
      <c r="F13">
        <v>3403</v>
      </c>
      <c r="G13">
        <v>581.97237731413463</v>
      </c>
      <c r="H13">
        <v>448452</v>
      </c>
      <c r="I13">
        <v>0.29272323759791125</v>
      </c>
      <c r="J13" t="s">
        <v>214</v>
      </c>
      <c r="K13">
        <v>1980452</v>
      </c>
    </row>
    <row r="14" spans="1:11" x14ac:dyDescent="0.25">
      <c r="A14" t="s">
        <v>19</v>
      </c>
      <c r="B14" t="s">
        <v>20</v>
      </c>
      <c r="C14" t="s">
        <v>11</v>
      </c>
      <c r="D14">
        <v>1984</v>
      </c>
      <c r="E14" t="s">
        <v>21</v>
      </c>
      <c r="F14">
        <v>707</v>
      </c>
      <c r="G14">
        <v>958.35785007072138</v>
      </c>
      <c r="H14">
        <v>-16441</v>
      </c>
      <c r="I14">
        <v>-2.3690201729106627E-2</v>
      </c>
      <c r="J14" t="s">
        <v>211</v>
      </c>
      <c r="K14">
        <v>694000</v>
      </c>
    </row>
    <row r="15" spans="1:11" x14ac:dyDescent="0.25">
      <c r="A15" t="s">
        <v>19</v>
      </c>
      <c r="B15" t="s">
        <v>20</v>
      </c>
      <c r="C15" t="s">
        <v>11</v>
      </c>
      <c r="D15">
        <v>1984</v>
      </c>
      <c r="E15" t="s">
        <v>21</v>
      </c>
      <c r="F15">
        <v>707</v>
      </c>
      <c r="G15">
        <v>958.35785007072138</v>
      </c>
      <c r="H15">
        <v>-16441</v>
      </c>
      <c r="I15">
        <v>-2.3690201729106627E-2</v>
      </c>
      <c r="J15" t="s">
        <v>212</v>
      </c>
      <c r="K15">
        <v>726182</v>
      </c>
    </row>
    <row r="16" spans="1:11" x14ac:dyDescent="0.25">
      <c r="A16" t="s">
        <v>19</v>
      </c>
      <c r="B16" t="s">
        <v>20</v>
      </c>
      <c r="C16" t="s">
        <v>11</v>
      </c>
      <c r="D16">
        <v>1984</v>
      </c>
      <c r="E16" t="s">
        <v>21</v>
      </c>
      <c r="F16">
        <v>707</v>
      </c>
      <c r="G16">
        <v>958.35785007072138</v>
      </c>
      <c r="H16">
        <v>-16441</v>
      </c>
      <c r="I16">
        <v>-2.3690201729106627E-2</v>
      </c>
      <c r="J16" t="s">
        <v>213</v>
      </c>
      <c r="K16">
        <v>709914</v>
      </c>
    </row>
    <row r="17" spans="1:11" x14ac:dyDescent="0.25">
      <c r="A17" t="s">
        <v>19</v>
      </c>
      <c r="B17" t="s">
        <v>20</v>
      </c>
      <c r="C17" t="s">
        <v>11</v>
      </c>
      <c r="D17">
        <v>1984</v>
      </c>
      <c r="E17" t="s">
        <v>21</v>
      </c>
      <c r="F17">
        <v>707</v>
      </c>
      <c r="G17">
        <v>958.35785007072138</v>
      </c>
      <c r="H17">
        <v>-16441</v>
      </c>
      <c r="I17">
        <v>-2.3690201729106627E-2</v>
      </c>
      <c r="J17" t="s">
        <v>214</v>
      </c>
      <c r="K17">
        <v>677559</v>
      </c>
    </row>
    <row r="18" spans="1:11" x14ac:dyDescent="0.25">
      <c r="A18" t="s">
        <v>22</v>
      </c>
      <c r="B18" t="s">
        <v>23</v>
      </c>
      <c r="C18" t="s">
        <v>11</v>
      </c>
      <c r="D18">
        <v>1969</v>
      </c>
      <c r="E18" t="s">
        <v>24</v>
      </c>
      <c r="F18">
        <v>3221</v>
      </c>
      <c r="G18">
        <v>549.54858739521887</v>
      </c>
      <c r="H18">
        <v>447096</v>
      </c>
      <c r="I18">
        <v>0.33794104308390022</v>
      </c>
      <c r="J18" t="s">
        <v>211</v>
      </c>
      <c r="K18">
        <v>1323000</v>
      </c>
    </row>
    <row r="19" spans="1:11" x14ac:dyDescent="0.25">
      <c r="A19" t="s">
        <v>22</v>
      </c>
      <c r="B19" t="s">
        <v>23</v>
      </c>
      <c r="C19" t="s">
        <v>11</v>
      </c>
      <c r="D19">
        <v>1969</v>
      </c>
      <c r="E19" t="s">
        <v>24</v>
      </c>
      <c r="F19">
        <v>3221</v>
      </c>
      <c r="G19">
        <v>549.54858739521887</v>
      </c>
      <c r="H19">
        <v>447096</v>
      </c>
      <c r="I19">
        <v>0.33794104308390022</v>
      </c>
      <c r="J19" t="s">
        <v>212</v>
      </c>
      <c r="K19">
        <v>1527628</v>
      </c>
    </row>
    <row r="20" spans="1:11" x14ac:dyDescent="0.25">
      <c r="A20" t="s">
        <v>22</v>
      </c>
      <c r="B20" t="s">
        <v>23</v>
      </c>
      <c r="C20" t="s">
        <v>11</v>
      </c>
      <c r="D20">
        <v>1969</v>
      </c>
      <c r="E20" t="s">
        <v>24</v>
      </c>
      <c r="F20">
        <v>3221</v>
      </c>
      <c r="G20">
        <v>549.54858739521887</v>
      </c>
      <c r="H20">
        <v>447096</v>
      </c>
      <c r="I20">
        <v>0.33794104308390022</v>
      </c>
      <c r="J20" t="s">
        <v>213</v>
      </c>
      <c r="K20">
        <v>1596223</v>
      </c>
    </row>
    <row r="21" spans="1:11" x14ac:dyDescent="0.25">
      <c r="A21" t="s">
        <v>22</v>
      </c>
      <c r="B21" t="s">
        <v>23</v>
      </c>
      <c r="C21" t="s">
        <v>11</v>
      </c>
      <c r="D21">
        <v>1969</v>
      </c>
      <c r="E21" t="s">
        <v>24</v>
      </c>
      <c r="F21">
        <v>3221</v>
      </c>
      <c r="G21">
        <v>549.54858739521887</v>
      </c>
      <c r="H21">
        <v>447096</v>
      </c>
      <c r="I21">
        <v>0.33794104308390022</v>
      </c>
      <c r="J21" t="s">
        <v>214</v>
      </c>
      <c r="K21">
        <v>1770096</v>
      </c>
    </row>
    <row r="22" spans="1:11" x14ac:dyDescent="0.25">
      <c r="A22" t="s">
        <v>25</v>
      </c>
      <c r="B22" t="s">
        <v>26</v>
      </c>
      <c r="C22" t="s">
        <v>11</v>
      </c>
      <c r="D22">
        <v>1984</v>
      </c>
      <c r="E22" t="s">
        <v>27</v>
      </c>
      <c r="F22">
        <v>1278</v>
      </c>
      <c r="G22">
        <v>960.80985915492954</v>
      </c>
      <c r="H22">
        <v>123915</v>
      </c>
      <c r="I22">
        <v>0.11224184782608695</v>
      </c>
      <c r="J22" t="s">
        <v>211</v>
      </c>
      <c r="K22">
        <v>1104000</v>
      </c>
    </row>
    <row r="23" spans="1:11" x14ac:dyDescent="0.25">
      <c r="A23" t="s">
        <v>25</v>
      </c>
      <c r="B23" t="s">
        <v>26</v>
      </c>
      <c r="C23" t="s">
        <v>11</v>
      </c>
      <c r="D23">
        <v>1984</v>
      </c>
      <c r="E23" t="s">
        <v>27</v>
      </c>
      <c r="F23">
        <v>1278</v>
      </c>
      <c r="G23">
        <v>960.80985915492954</v>
      </c>
      <c r="H23">
        <v>123915</v>
      </c>
      <c r="I23">
        <v>0.11224184782608695</v>
      </c>
      <c r="J23" t="s">
        <v>212</v>
      </c>
      <c r="K23">
        <v>1161548</v>
      </c>
    </row>
    <row r="24" spans="1:11" x14ac:dyDescent="0.25">
      <c r="A24" t="s">
        <v>25</v>
      </c>
      <c r="B24" t="s">
        <v>26</v>
      </c>
      <c r="C24" t="s">
        <v>11</v>
      </c>
      <c r="D24">
        <v>1984</v>
      </c>
      <c r="E24" t="s">
        <v>27</v>
      </c>
      <c r="F24">
        <v>1278</v>
      </c>
      <c r="G24">
        <v>960.80985915492954</v>
      </c>
      <c r="H24">
        <v>123915</v>
      </c>
      <c r="I24">
        <v>0.11224184782608695</v>
      </c>
      <c r="J24" t="s">
        <v>213</v>
      </c>
      <c r="K24">
        <v>1157215</v>
      </c>
    </row>
    <row r="25" spans="1:11" x14ac:dyDescent="0.25">
      <c r="A25" t="s">
        <v>25</v>
      </c>
      <c r="B25" t="s">
        <v>26</v>
      </c>
      <c r="C25" t="s">
        <v>11</v>
      </c>
      <c r="D25">
        <v>1984</v>
      </c>
      <c r="E25" t="s">
        <v>27</v>
      </c>
      <c r="F25">
        <v>1278</v>
      </c>
      <c r="G25">
        <v>960.80985915492954</v>
      </c>
      <c r="H25">
        <v>123915</v>
      </c>
      <c r="I25">
        <v>0.11224184782608695</v>
      </c>
      <c r="J25" t="s">
        <v>214</v>
      </c>
      <c r="K25">
        <v>1227915</v>
      </c>
    </row>
    <row r="26" spans="1:11" x14ac:dyDescent="0.25">
      <c r="A26" t="s">
        <v>28</v>
      </c>
      <c r="B26" t="s">
        <v>29</v>
      </c>
      <c r="C26" t="s">
        <v>30</v>
      </c>
      <c r="D26">
        <v>1981</v>
      </c>
      <c r="E26" t="s">
        <v>31</v>
      </c>
      <c r="F26">
        <v>4496</v>
      </c>
      <c r="G26">
        <v>110.15391459074733</v>
      </c>
      <c r="H26">
        <v>249252</v>
      </c>
      <c r="I26">
        <v>1.013219512195122</v>
      </c>
      <c r="J26" t="s">
        <v>211</v>
      </c>
      <c r="K26">
        <v>246000</v>
      </c>
    </row>
    <row r="27" spans="1:11" x14ac:dyDescent="0.25">
      <c r="A27" t="s">
        <v>28</v>
      </c>
      <c r="B27" t="s">
        <v>29</v>
      </c>
      <c r="C27" t="s">
        <v>30</v>
      </c>
      <c r="D27">
        <v>1981</v>
      </c>
      <c r="E27" t="s">
        <v>31</v>
      </c>
      <c r="F27">
        <v>4496</v>
      </c>
      <c r="G27">
        <v>110.15391459074733</v>
      </c>
      <c r="H27">
        <v>249252</v>
      </c>
      <c r="I27">
        <v>1.013219512195122</v>
      </c>
      <c r="J27" t="s">
        <v>212</v>
      </c>
      <c r="K27">
        <v>311741</v>
      </c>
    </row>
    <row r="28" spans="1:11" x14ac:dyDescent="0.25">
      <c r="A28" t="s">
        <v>28</v>
      </c>
      <c r="B28" t="s">
        <v>29</v>
      </c>
      <c r="C28" t="s">
        <v>30</v>
      </c>
      <c r="D28">
        <v>1981</v>
      </c>
      <c r="E28" t="s">
        <v>31</v>
      </c>
      <c r="F28">
        <v>4496</v>
      </c>
      <c r="G28">
        <v>110.15391459074733</v>
      </c>
      <c r="H28">
        <v>249252</v>
      </c>
      <c r="I28">
        <v>1.013219512195122</v>
      </c>
      <c r="J28" t="s">
        <v>213</v>
      </c>
      <c r="K28">
        <v>404091</v>
      </c>
    </row>
    <row r="29" spans="1:11" x14ac:dyDescent="0.25">
      <c r="A29" t="s">
        <v>28</v>
      </c>
      <c r="B29" t="s">
        <v>29</v>
      </c>
      <c r="C29" t="s">
        <v>30</v>
      </c>
      <c r="D29">
        <v>1981</v>
      </c>
      <c r="E29" t="s">
        <v>31</v>
      </c>
      <c r="F29">
        <v>4496</v>
      </c>
      <c r="G29">
        <v>110.15391459074733</v>
      </c>
      <c r="H29">
        <v>249252</v>
      </c>
      <c r="I29">
        <v>1.013219512195122</v>
      </c>
      <c r="J29" t="s">
        <v>214</v>
      </c>
      <c r="K29">
        <v>495252</v>
      </c>
    </row>
    <row r="30" spans="1:11" x14ac:dyDescent="0.25">
      <c r="A30" t="s">
        <v>32</v>
      </c>
      <c r="B30" t="s">
        <v>33</v>
      </c>
      <c r="C30" t="s">
        <v>30</v>
      </c>
      <c r="D30">
        <v>1984</v>
      </c>
      <c r="E30" t="s">
        <v>34</v>
      </c>
      <c r="F30">
        <v>1881</v>
      </c>
      <c r="G30">
        <v>1809.5619351408825</v>
      </c>
      <c r="H30">
        <v>1135786</v>
      </c>
      <c r="I30">
        <v>0.50078747795414458</v>
      </c>
      <c r="J30" t="s">
        <v>211</v>
      </c>
      <c r="K30">
        <v>2268000</v>
      </c>
    </row>
    <row r="31" spans="1:11" x14ac:dyDescent="0.25">
      <c r="A31" t="s">
        <v>32</v>
      </c>
      <c r="B31" t="s">
        <v>33</v>
      </c>
      <c r="C31" t="s">
        <v>30</v>
      </c>
      <c r="D31">
        <v>1984</v>
      </c>
      <c r="E31" t="s">
        <v>34</v>
      </c>
      <c r="F31">
        <v>1881</v>
      </c>
      <c r="G31">
        <v>1809.5619351408825</v>
      </c>
      <c r="H31">
        <v>1135786</v>
      </c>
      <c r="I31">
        <v>0.50078747795414458</v>
      </c>
      <c r="J31" t="s">
        <v>212</v>
      </c>
      <c r="K31">
        <v>2509383</v>
      </c>
    </row>
    <row r="32" spans="1:11" x14ac:dyDescent="0.25">
      <c r="A32" t="s">
        <v>32</v>
      </c>
      <c r="B32" t="s">
        <v>33</v>
      </c>
      <c r="C32" t="s">
        <v>30</v>
      </c>
      <c r="D32">
        <v>1984</v>
      </c>
      <c r="E32" t="s">
        <v>34</v>
      </c>
      <c r="F32">
        <v>1881</v>
      </c>
      <c r="G32">
        <v>1809.5619351408825</v>
      </c>
      <c r="H32">
        <v>1135786</v>
      </c>
      <c r="I32">
        <v>0.50078747795414458</v>
      </c>
      <c r="J32" t="s">
        <v>213</v>
      </c>
      <c r="K32">
        <v>2953208</v>
      </c>
    </row>
    <row r="33" spans="1:11" x14ac:dyDescent="0.25">
      <c r="A33" t="s">
        <v>32</v>
      </c>
      <c r="B33" t="s">
        <v>33</v>
      </c>
      <c r="C33" t="s">
        <v>30</v>
      </c>
      <c r="D33">
        <v>1984</v>
      </c>
      <c r="E33" t="s">
        <v>34</v>
      </c>
      <c r="F33">
        <v>1881</v>
      </c>
      <c r="G33">
        <v>1809.5619351408825</v>
      </c>
      <c r="H33">
        <v>1135786</v>
      </c>
      <c r="I33">
        <v>0.50078747795414458</v>
      </c>
      <c r="J33" t="s">
        <v>214</v>
      </c>
      <c r="K33">
        <v>3403786</v>
      </c>
    </row>
    <row r="34" spans="1:11" x14ac:dyDescent="0.25">
      <c r="A34" t="s">
        <v>35</v>
      </c>
      <c r="B34" t="s">
        <v>36</v>
      </c>
      <c r="C34" t="s">
        <v>30</v>
      </c>
      <c r="D34">
        <v>1984</v>
      </c>
      <c r="E34" t="s">
        <v>37</v>
      </c>
      <c r="F34">
        <v>1645</v>
      </c>
      <c r="G34">
        <v>1649.390273556231</v>
      </c>
      <c r="H34">
        <v>563247</v>
      </c>
      <c r="I34">
        <v>0.2619753488372093</v>
      </c>
      <c r="J34" t="s">
        <v>211</v>
      </c>
      <c r="K34">
        <v>2150000</v>
      </c>
    </row>
    <row r="35" spans="1:11" x14ac:dyDescent="0.25">
      <c r="A35" t="s">
        <v>35</v>
      </c>
      <c r="B35" t="s">
        <v>36</v>
      </c>
      <c r="C35" t="s">
        <v>30</v>
      </c>
      <c r="D35">
        <v>1984</v>
      </c>
      <c r="E35" t="s">
        <v>37</v>
      </c>
      <c r="F35">
        <v>1645</v>
      </c>
      <c r="G35">
        <v>1649.390273556231</v>
      </c>
      <c r="H35">
        <v>563247</v>
      </c>
      <c r="I35">
        <v>0.2619753488372093</v>
      </c>
      <c r="J35" t="s">
        <v>212</v>
      </c>
      <c r="K35">
        <v>2377088</v>
      </c>
    </row>
    <row r="36" spans="1:11" x14ac:dyDescent="0.25">
      <c r="A36" t="s">
        <v>35</v>
      </c>
      <c r="B36" t="s">
        <v>36</v>
      </c>
      <c r="C36" t="s">
        <v>30</v>
      </c>
      <c r="D36">
        <v>1984</v>
      </c>
      <c r="E36" t="s">
        <v>37</v>
      </c>
      <c r="F36">
        <v>1645</v>
      </c>
      <c r="G36">
        <v>1649.390273556231</v>
      </c>
      <c r="H36">
        <v>563247</v>
      </c>
      <c r="I36">
        <v>0.2619753488372093</v>
      </c>
      <c r="J36" t="s">
        <v>213</v>
      </c>
      <c r="K36">
        <v>2513838</v>
      </c>
    </row>
    <row r="37" spans="1:11" x14ac:dyDescent="0.25">
      <c r="A37" t="s">
        <v>35</v>
      </c>
      <c r="B37" t="s">
        <v>36</v>
      </c>
      <c r="C37" t="s">
        <v>30</v>
      </c>
      <c r="D37">
        <v>1984</v>
      </c>
      <c r="E37" t="s">
        <v>37</v>
      </c>
      <c r="F37">
        <v>1645</v>
      </c>
      <c r="G37">
        <v>1649.390273556231</v>
      </c>
      <c r="H37">
        <v>563247</v>
      </c>
      <c r="I37">
        <v>0.2619753488372093</v>
      </c>
      <c r="J37" t="s">
        <v>214</v>
      </c>
      <c r="K37">
        <v>2713247</v>
      </c>
    </row>
    <row r="38" spans="1:11" x14ac:dyDescent="0.25">
      <c r="A38" t="s">
        <v>30</v>
      </c>
      <c r="B38" t="s">
        <v>38</v>
      </c>
      <c r="C38" t="s">
        <v>30</v>
      </c>
      <c r="D38">
        <v>1666</v>
      </c>
      <c r="E38" t="s">
        <v>39</v>
      </c>
      <c r="F38">
        <v>5282</v>
      </c>
      <c r="G38">
        <v>1787.026883756153</v>
      </c>
      <c r="H38">
        <v>3695076</v>
      </c>
      <c r="I38">
        <v>0.64329317548746523</v>
      </c>
      <c r="J38" t="s">
        <v>211</v>
      </c>
      <c r="K38">
        <v>5744000</v>
      </c>
    </row>
    <row r="39" spans="1:11" x14ac:dyDescent="0.25">
      <c r="A39" t="s">
        <v>30</v>
      </c>
      <c r="B39" t="s">
        <v>38</v>
      </c>
      <c r="C39" t="s">
        <v>30</v>
      </c>
      <c r="D39">
        <v>1666</v>
      </c>
      <c r="E39" t="s">
        <v>39</v>
      </c>
      <c r="F39">
        <v>5282</v>
      </c>
      <c r="G39">
        <v>1787.026883756153</v>
      </c>
      <c r="H39">
        <v>3695076</v>
      </c>
      <c r="I39">
        <v>0.64329317548746523</v>
      </c>
      <c r="J39" t="s">
        <v>212</v>
      </c>
      <c r="K39">
        <v>7009504</v>
      </c>
    </row>
    <row r="40" spans="1:11" x14ac:dyDescent="0.25">
      <c r="A40" t="s">
        <v>30</v>
      </c>
      <c r="B40" t="s">
        <v>38</v>
      </c>
      <c r="C40" t="s">
        <v>30</v>
      </c>
      <c r="D40">
        <v>1666</v>
      </c>
      <c r="E40" t="s">
        <v>39</v>
      </c>
      <c r="F40">
        <v>5282</v>
      </c>
      <c r="G40">
        <v>1787.026883756153</v>
      </c>
      <c r="H40">
        <v>3695076</v>
      </c>
      <c r="I40">
        <v>0.64329317548746523</v>
      </c>
      <c r="J40" t="s">
        <v>213</v>
      </c>
      <c r="K40">
        <v>7913366</v>
      </c>
    </row>
    <row r="41" spans="1:11" x14ac:dyDescent="0.25">
      <c r="A41" t="s">
        <v>30</v>
      </c>
      <c r="B41" t="s">
        <v>38</v>
      </c>
      <c r="C41" t="s">
        <v>30</v>
      </c>
      <c r="D41">
        <v>1666</v>
      </c>
      <c r="E41" t="s">
        <v>39</v>
      </c>
      <c r="F41">
        <v>5282</v>
      </c>
      <c r="G41">
        <v>1787.026883756153</v>
      </c>
      <c r="H41">
        <v>3695076</v>
      </c>
      <c r="I41">
        <v>0.64329317548746523</v>
      </c>
      <c r="J41" t="s">
        <v>214</v>
      </c>
      <c r="K41">
        <v>9439076</v>
      </c>
    </row>
    <row r="42" spans="1:11" x14ac:dyDescent="0.25">
      <c r="A42" t="s">
        <v>40</v>
      </c>
      <c r="B42" t="s">
        <v>41</v>
      </c>
      <c r="C42" t="s">
        <v>30</v>
      </c>
      <c r="D42">
        <v>1984</v>
      </c>
      <c r="E42" t="s">
        <v>42</v>
      </c>
      <c r="F42">
        <v>2492</v>
      </c>
      <c r="G42">
        <v>1166.2443820224719</v>
      </c>
      <c r="H42">
        <v>1404281</v>
      </c>
      <c r="I42">
        <v>0.93494074567243679</v>
      </c>
      <c r="J42" t="s">
        <v>211</v>
      </c>
      <c r="K42">
        <v>1502000</v>
      </c>
    </row>
    <row r="43" spans="1:11" x14ac:dyDescent="0.25">
      <c r="A43" t="s">
        <v>40</v>
      </c>
      <c r="B43" t="s">
        <v>41</v>
      </c>
      <c r="C43" t="s">
        <v>30</v>
      </c>
      <c r="D43">
        <v>1984</v>
      </c>
      <c r="E43" t="s">
        <v>42</v>
      </c>
      <c r="F43">
        <v>2492</v>
      </c>
      <c r="G43">
        <v>1166.2443820224719</v>
      </c>
      <c r="H43">
        <v>1404281</v>
      </c>
      <c r="I43">
        <v>0.93494074567243679</v>
      </c>
      <c r="J43" t="s">
        <v>212</v>
      </c>
      <c r="K43">
        <v>1856151</v>
      </c>
    </row>
    <row r="44" spans="1:11" x14ac:dyDescent="0.25">
      <c r="A44" t="s">
        <v>40</v>
      </c>
      <c r="B44" t="s">
        <v>41</v>
      </c>
      <c r="C44" t="s">
        <v>30</v>
      </c>
      <c r="D44">
        <v>1984</v>
      </c>
      <c r="E44" t="s">
        <v>42</v>
      </c>
      <c r="F44">
        <v>2492</v>
      </c>
      <c r="G44">
        <v>1166.2443820224719</v>
      </c>
      <c r="H44">
        <v>1404281</v>
      </c>
      <c r="I44">
        <v>0.93494074567243679</v>
      </c>
      <c r="J44" t="s">
        <v>213</v>
      </c>
      <c r="K44">
        <v>2381814</v>
      </c>
    </row>
    <row r="45" spans="1:11" x14ac:dyDescent="0.25">
      <c r="A45" t="s">
        <v>40</v>
      </c>
      <c r="B45" t="s">
        <v>41</v>
      </c>
      <c r="C45" t="s">
        <v>30</v>
      </c>
      <c r="D45">
        <v>1984</v>
      </c>
      <c r="E45" t="s">
        <v>42</v>
      </c>
      <c r="F45">
        <v>2492</v>
      </c>
      <c r="G45">
        <v>1166.2443820224719</v>
      </c>
      <c r="H45">
        <v>1404281</v>
      </c>
      <c r="I45">
        <v>0.93494074567243679</v>
      </c>
      <c r="J45" t="s">
        <v>214</v>
      </c>
      <c r="K45">
        <v>2906281</v>
      </c>
    </row>
    <row r="46" spans="1:11" x14ac:dyDescent="0.25">
      <c r="A46" t="s">
        <v>43</v>
      </c>
      <c r="B46" t="s">
        <v>44</v>
      </c>
      <c r="C46" t="s">
        <v>30</v>
      </c>
      <c r="D46">
        <v>1790</v>
      </c>
      <c r="E46" t="s">
        <v>45</v>
      </c>
      <c r="F46">
        <v>3146</v>
      </c>
      <c r="G46">
        <v>2032.7002542911634</v>
      </c>
      <c r="H46">
        <v>2130875</v>
      </c>
      <c r="I46">
        <v>0.49973616322701686</v>
      </c>
      <c r="J46" t="s">
        <v>211</v>
      </c>
      <c r="K46">
        <v>4264000</v>
      </c>
    </row>
    <row r="47" spans="1:11" x14ac:dyDescent="0.25">
      <c r="A47" t="s">
        <v>43</v>
      </c>
      <c r="B47" t="s">
        <v>44</v>
      </c>
      <c r="C47" t="s">
        <v>30</v>
      </c>
      <c r="D47">
        <v>1790</v>
      </c>
      <c r="E47" t="s">
        <v>45</v>
      </c>
      <c r="F47">
        <v>3146</v>
      </c>
      <c r="G47">
        <v>2032.7002542911634</v>
      </c>
      <c r="H47">
        <v>2130875</v>
      </c>
      <c r="I47">
        <v>0.49973616322701686</v>
      </c>
      <c r="J47" t="s">
        <v>212</v>
      </c>
      <c r="K47">
        <v>4807649</v>
      </c>
    </row>
    <row r="48" spans="1:11" x14ac:dyDescent="0.25">
      <c r="A48" t="s">
        <v>43</v>
      </c>
      <c r="B48" t="s">
        <v>44</v>
      </c>
      <c r="C48" t="s">
        <v>30</v>
      </c>
      <c r="D48">
        <v>1790</v>
      </c>
      <c r="E48" t="s">
        <v>45</v>
      </c>
      <c r="F48">
        <v>3146</v>
      </c>
      <c r="G48">
        <v>2032.7002542911634</v>
      </c>
      <c r="H48">
        <v>2130875</v>
      </c>
      <c r="I48">
        <v>0.49973616322701686</v>
      </c>
      <c r="J48" t="s">
        <v>213</v>
      </c>
      <c r="K48">
        <v>5602624</v>
      </c>
    </row>
    <row r="49" spans="1:11" x14ac:dyDescent="0.25">
      <c r="A49" t="s">
        <v>43</v>
      </c>
      <c r="B49" t="s">
        <v>44</v>
      </c>
      <c r="C49" t="s">
        <v>30</v>
      </c>
      <c r="D49">
        <v>1790</v>
      </c>
      <c r="E49" t="s">
        <v>45</v>
      </c>
      <c r="F49">
        <v>3146</v>
      </c>
      <c r="G49">
        <v>2032.7002542911634</v>
      </c>
      <c r="H49">
        <v>2130875</v>
      </c>
      <c r="I49">
        <v>0.49973616322701686</v>
      </c>
      <c r="J49" t="s">
        <v>214</v>
      </c>
      <c r="K49">
        <v>6394875</v>
      </c>
    </row>
    <row r="50" spans="1:11" x14ac:dyDescent="0.25">
      <c r="A50" t="s">
        <v>46</v>
      </c>
      <c r="B50" t="s">
        <v>47</v>
      </c>
      <c r="C50" t="s">
        <v>30</v>
      </c>
      <c r="D50">
        <v>1984</v>
      </c>
      <c r="E50" t="s">
        <v>48</v>
      </c>
      <c r="F50">
        <v>990</v>
      </c>
      <c r="G50">
        <v>1714.5242424242424</v>
      </c>
      <c r="H50">
        <v>539379</v>
      </c>
      <c r="I50">
        <v>0.46578497409326425</v>
      </c>
      <c r="J50" t="s">
        <v>211</v>
      </c>
      <c r="K50">
        <v>1158000</v>
      </c>
    </row>
    <row r="51" spans="1:11" x14ac:dyDescent="0.25">
      <c r="A51" t="s">
        <v>46</v>
      </c>
      <c r="B51" t="s">
        <v>47</v>
      </c>
      <c r="C51" t="s">
        <v>30</v>
      </c>
      <c r="D51">
        <v>1984</v>
      </c>
      <c r="E51" t="s">
        <v>48</v>
      </c>
      <c r="F51">
        <v>990</v>
      </c>
      <c r="G51">
        <v>1714.5242424242424</v>
      </c>
      <c r="H51">
        <v>539379</v>
      </c>
      <c r="I51">
        <v>0.46578497409326425</v>
      </c>
      <c r="J51" t="s">
        <v>212</v>
      </c>
      <c r="K51">
        <v>1297987</v>
      </c>
    </row>
    <row r="52" spans="1:11" x14ac:dyDescent="0.25">
      <c r="A52" t="s">
        <v>46</v>
      </c>
      <c r="B52" t="s">
        <v>47</v>
      </c>
      <c r="C52" t="s">
        <v>30</v>
      </c>
      <c r="D52">
        <v>1984</v>
      </c>
      <c r="E52" t="s">
        <v>48</v>
      </c>
      <c r="F52">
        <v>990</v>
      </c>
      <c r="G52">
        <v>1714.5242424242424</v>
      </c>
      <c r="H52">
        <v>539379</v>
      </c>
      <c r="I52">
        <v>0.46578497409326425</v>
      </c>
      <c r="J52" t="s">
        <v>213</v>
      </c>
      <c r="K52">
        <v>1496139</v>
      </c>
    </row>
    <row r="53" spans="1:11" x14ac:dyDescent="0.25">
      <c r="A53" t="s">
        <v>46</v>
      </c>
      <c r="B53" t="s">
        <v>47</v>
      </c>
      <c r="C53" t="s">
        <v>30</v>
      </c>
      <c r="D53">
        <v>1984</v>
      </c>
      <c r="E53" t="s">
        <v>48</v>
      </c>
      <c r="F53">
        <v>990</v>
      </c>
      <c r="G53">
        <v>1714.5242424242424</v>
      </c>
      <c r="H53">
        <v>539379</v>
      </c>
      <c r="I53">
        <v>0.46578497409326425</v>
      </c>
      <c r="J53" t="s">
        <v>214</v>
      </c>
      <c r="K53">
        <v>1697379</v>
      </c>
    </row>
    <row r="54" spans="1:11" x14ac:dyDescent="0.25">
      <c r="A54" t="s">
        <v>49</v>
      </c>
      <c r="B54" t="s">
        <v>50</v>
      </c>
      <c r="C54" t="s">
        <v>30</v>
      </c>
      <c r="D54">
        <v>1983</v>
      </c>
      <c r="E54" t="s">
        <v>51</v>
      </c>
      <c r="F54">
        <v>2749</v>
      </c>
      <c r="G54">
        <v>267.41214987268097</v>
      </c>
      <c r="H54">
        <v>369116</v>
      </c>
      <c r="I54">
        <v>1.0085136612021859</v>
      </c>
      <c r="J54" t="s">
        <v>211</v>
      </c>
      <c r="K54">
        <v>366000</v>
      </c>
    </row>
    <row r="55" spans="1:11" x14ac:dyDescent="0.25">
      <c r="A55" t="s">
        <v>49</v>
      </c>
      <c r="B55" t="s">
        <v>50</v>
      </c>
      <c r="C55" t="s">
        <v>30</v>
      </c>
      <c r="D55">
        <v>1983</v>
      </c>
      <c r="E55" t="s">
        <v>51</v>
      </c>
      <c r="F55">
        <v>2749</v>
      </c>
      <c r="G55">
        <v>267.41214987268097</v>
      </c>
      <c r="H55">
        <v>369116</v>
      </c>
      <c r="I55">
        <v>1.0085136612021859</v>
      </c>
      <c r="J55" t="s">
        <v>212</v>
      </c>
      <c r="K55">
        <v>549134</v>
      </c>
    </row>
    <row r="56" spans="1:11" x14ac:dyDescent="0.25">
      <c r="A56" t="s">
        <v>49</v>
      </c>
      <c r="B56" t="s">
        <v>50</v>
      </c>
      <c r="C56" t="s">
        <v>30</v>
      </c>
      <c r="D56">
        <v>1983</v>
      </c>
      <c r="E56" t="s">
        <v>51</v>
      </c>
      <c r="F56">
        <v>2749</v>
      </c>
      <c r="G56">
        <v>267.41214987268097</v>
      </c>
      <c r="H56">
        <v>369116</v>
      </c>
      <c r="I56">
        <v>1.0085136612021859</v>
      </c>
      <c r="J56" t="s">
        <v>213</v>
      </c>
      <c r="K56">
        <v>638967</v>
      </c>
    </row>
    <row r="57" spans="1:11" x14ac:dyDescent="0.25">
      <c r="A57" t="s">
        <v>49</v>
      </c>
      <c r="B57" t="s">
        <v>50</v>
      </c>
      <c r="C57" t="s">
        <v>30</v>
      </c>
      <c r="D57">
        <v>1983</v>
      </c>
      <c r="E57" t="s">
        <v>51</v>
      </c>
      <c r="F57">
        <v>2749</v>
      </c>
      <c r="G57">
        <v>267.41214987268097</v>
      </c>
      <c r="H57">
        <v>369116</v>
      </c>
      <c r="I57">
        <v>1.0085136612021859</v>
      </c>
      <c r="J57" t="s">
        <v>214</v>
      </c>
      <c r="K57">
        <v>735116</v>
      </c>
    </row>
    <row r="58" spans="1:11" x14ac:dyDescent="0.25">
      <c r="A58" t="s">
        <v>52</v>
      </c>
      <c r="B58" t="s">
        <v>53</v>
      </c>
      <c r="C58" t="s">
        <v>30</v>
      </c>
      <c r="D58">
        <v>1984</v>
      </c>
      <c r="E58" t="s">
        <v>54</v>
      </c>
      <c r="F58">
        <v>1440</v>
      </c>
      <c r="G58">
        <v>1385.3680555555557</v>
      </c>
      <c r="H58">
        <v>603930</v>
      </c>
      <c r="I58">
        <v>0.43416966211358737</v>
      </c>
      <c r="J58" t="s">
        <v>211</v>
      </c>
      <c r="K58">
        <v>1391000</v>
      </c>
    </row>
    <row r="59" spans="1:11" x14ac:dyDescent="0.25">
      <c r="A59" t="s">
        <v>52</v>
      </c>
      <c r="B59" t="s">
        <v>53</v>
      </c>
      <c r="C59" t="s">
        <v>30</v>
      </c>
      <c r="D59">
        <v>1984</v>
      </c>
      <c r="E59" t="s">
        <v>54</v>
      </c>
      <c r="F59">
        <v>1440</v>
      </c>
      <c r="G59">
        <v>1385.3680555555557</v>
      </c>
      <c r="H59">
        <v>603930</v>
      </c>
      <c r="I59">
        <v>0.43416966211358737</v>
      </c>
      <c r="J59" t="s">
        <v>212</v>
      </c>
      <c r="K59">
        <v>1558618</v>
      </c>
    </row>
    <row r="60" spans="1:11" x14ac:dyDescent="0.25">
      <c r="A60" t="s">
        <v>52</v>
      </c>
      <c r="B60" t="s">
        <v>53</v>
      </c>
      <c r="C60" t="s">
        <v>30</v>
      </c>
      <c r="D60">
        <v>1984</v>
      </c>
      <c r="E60" t="s">
        <v>54</v>
      </c>
      <c r="F60">
        <v>1440</v>
      </c>
      <c r="G60">
        <v>1385.3680555555557</v>
      </c>
      <c r="H60">
        <v>603930</v>
      </c>
      <c r="I60">
        <v>0.43416966211358737</v>
      </c>
      <c r="J60" t="s">
        <v>213</v>
      </c>
      <c r="K60">
        <v>1797761</v>
      </c>
    </row>
    <row r="61" spans="1:11" x14ac:dyDescent="0.25">
      <c r="A61" t="s">
        <v>52</v>
      </c>
      <c r="B61" t="s">
        <v>53</v>
      </c>
      <c r="C61" t="s">
        <v>30</v>
      </c>
      <c r="D61">
        <v>1984</v>
      </c>
      <c r="E61" t="s">
        <v>54</v>
      </c>
      <c r="F61">
        <v>1440</v>
      </c>
      <c r="G61">
        <v>1385.3680555555557</v>
      </c>
      <c r="H61">
        <v>603930</v>
      </c>
      <c r="I61">
        <v>0.43416966211358737</v>
      </c>
      <c r="J61" t="s">
        <v>214</v>
      </c>
      <c r="K61">
        <v>1994930</v>
      </c>
    </row>
    <row r="62" spans="1:11" x14ac:dyDescent="0.25">
      <c r="A62" t="s">
        <v>55</v>
      </c>
      <c r="B62" t="s">
        <v>56</v>
      </c>
      <c r="C62" t="s">
        <v>30</v>
      </c>
      <c r="D62">
        <v>1821</v>
      </c>
      <c r="E62" t="s">
        <v>57</v>
      </c>
      <c r="F62">
        <v>3686</v>
      </c>
      <c r="G62">
        <v>1012.491047205643</v>
      </c>
      <c r="H62">
        <v>1386042</v>
      </c>
      <c r="I62">
        <v>0.59081074168797953</v>
      </c>
      <c r="J62" t="s">
        <v>211</v>
      </c>
      <c r="K62">
        <v>2346000</v>
      </c>
    </row>
    <row r="63" spans="1:11" x14ac:dyDescent="0.25">
      <c r="A63" t="s">
        <v>55</v>
      </c>
      <c r="B63" t="s">
        <v>56</v>
      </c>
      <c r="C63" t="s">
        <v>30</v>
      </c>
      <c r="D63">
        <v>1821</v>
      </c>
      <c r="E63" t="s">
        <v>57</v>
      </c>
      <c r="F63">
        <v>3686</v>
      </c>
      <c r="G63">
        <v>1012.491047205643</v>
      </c>
      <c r="H63">
        <v>1386042</v>
      </c>
      <c r="I63">
        <v>0.59081074168797953</v>
      </c>
      <c r="J63" t="s">
        <v>212</v>
      </c>
      <c r="K63">
        <v>2696453</v>
      </c>
    </row>
    <row r="64" spans="1:11" x14ac:dyDescent="0.25">
      <c r="A64" t="s">
        <v>55</v>
      </c>
      <c r="B64" t="s">
        <v>56</v>
      </c>
      <c r="C64" t="s">
        <v>30</v>
      </c>
      <c r="D64">
        <v>1821</v>
      </c>
      <c r="E64" t="s">
        <v>57</v>
      </c>
      <c r="F64">
        <v>3686</v>
      </c>
      <c r="G64">
        <v>1012.491047205643</v>
      </c>
      <c r="H64">
        <v>1386042</v>
      </c>
      <c r="I64">
        <v>0.59081074168797953</v>
      </c>
      <c r="J64" t="s">
        <v>213</v>
      </c>
      <c r="K64">
        <v>3231832</v>
      </c>
    </row>
    <row r="65" spans="1:11" x14ac:dyDescent="0.25">
      <c r="A65" t="s">
        <v>55</v>
      </c>
      <c r="B65" t="s">
        <v>56</v>
      </c>
      <c r="C65" t="s">
        <v>30</v>
      </c>
      <c r="D65">
        <v>1821</v>
      </c>
      <c r="E65" t="s">
        <v>57</v>
      </c>
      <c r="F65">
        <v>3686</v>
      </c>
      <c r="G65">
        <v>1012.491047205643</v>
      </c>
      <c r="H65">
        <v>1386042</v>
      </c>
      <c r="I65">
        <v>0.59081074168797953</v>
      </c>
      <c r="J65" t="s">
        <v>214</v>
      </c>
      <c r="K65">
        <v>3732042</v>
      </c>
    </row>
    <row r="66" spans="1:11" x14ac:dyDescent="0.25">
      <c r="A66" t="s">
        <v>58</v>
      </c>
      <c r="B66" t="s">
        <v>59</v>
      </c>
      <c r="C66" t="s">
        <v>30</v>
      </c>
      <c r="D66">
        <v>1983</v>
      </c>
      <c r="E66" t="s">
        <v>60</v>
      </c>
      <c r="F66">
        <v>6116</v>
      </c>
      <c r="G66">
        <v>108.99722040549379</v>
      </c>
      <c r="H66">
        <v>236627</v>
      </c>
      <c r="I66">
        <v>0.55029534883720932</v>
      </c>
      <c r="J66" t="s">
        <v>211</v>
      </c>
      <c r="K66">
        <v>430000</v>
      </c>
    </row>
    <row r="67" spans="1:11" x14ac:dyDescent="0.25">
      <c r="A67" t="s">
        <v>58</v>
      </c>
      <c r="B67" t="s">
        <v>59</v>
      </c>
      <c r="C67" t="s">
        <v>30</v>
      </c>
      <c r="D67">
        <v>1983</v>
      </c>
      <c r="E67" t="s">
        <v>60</v>
      </c>
      <c r="F67">
        <v>6116</v>
      </c>
      <c r="G67">
        <v>108.99722040549379</v>
      </c>
      <c r="H67">
        <v>236627</v>
      </c>
      <c r="I67">
        <v>0.55029534883720932</v>
      </c>
      <c r="J67" t="s">
        <v>212</v>
      </c>
      <c r="K67">
        <v>531489</v>
      </c>
    </row>
    <row r="68" spans="1:11" x14ac:dyDescent="0.25">
      <c r="A68" t="s">
        <v>58</v>
      </c>
      <c r="B68" t="s">
        <v>59</v>
      </c>
      <c r="C68" t="s">
        <v>30</v>
      </c>
      <c r="D68">
        <v>1983</v>
      </c>
      <c r="E68" t="s">
        <v>60</v>
      </c>
      <c r="F68">
        <v>6116</v>
      </c>
      <c r="G68">
        <v>108.99722040549379</v>
      </c>
      <c r="H68">
        <v>236627</v>
      </c>
      <c r="I68">
        <v>0.55029534883720932</v>
      </c>
      <c r="J68" t="s">
        <v>213</v>
      </c>
      <c r="K68">
        <v>620215</v>
      </c>
    </row>
    <row r="69" spans="1:11" x14ac:dyDescent="0.25">
      <c r="A69" t="s">
        <v>58</v>
      </c>
      <c r="B69" t="s">
        <v>59</v>
      </c>
      <c r="C69" t="s">
        <v>30</v>
      </c>
      <c r="D69">
        <v>1983</v>
      </c>
      <c r="E69" t="s">
        <v>60</v>
      </c>
      <c r="F69">
        <v>6116</v>
      </c>
      <c r="G69">
        <v>108.99722040549379</v>
      </c>
      <c r="H69">
        <v>236627</v>
      </c>
      <c r="I69">
        <v>0.55029534883720932</v>
      </c>
      <c r="J69" t="s">
        <v>214</v>
      </c>
      <c r="K69">
        <v>666627</v>
      </c>
    </row>
    <row r="70" spans="1:11" x14ac:dyDescent="0.25">
      <c r="A70" t="s">
        <v>61</v>
      </c>
      <c r="B70" t="s">
        <v>62</v>
      </c>
      <c r="C70" t="s">
        <v>61</v>
      </c>
      <c r="D70">
        <v>1772</v>
      </c>
      <c r="E70" t="s">
        <v>63</v>
      </c>
      <c r="F70">
        <v>1464</v>
      </c>
      <c r="G70">
        <v>10389.925546448087</v>
      </c>
      <c r="H70">
        <v>9046851</v>
      </c>
      <c r="I70">
        <v>1.467691596365996</v>
      </c>
      <c r="J70" t="s">
        <v>211</v>
      </c>
      <c r="K70">
        <v>6164000</v>
      </c>
    </row>
    <row r="71" spans="1:11" x14ac:dyDescent="0.25">
      <c r="A71" t="s">
        <v>61</v>
      </c>
      <c r="B71" t="s">
        <v>62</v>
      </c>
      <c r="C71" t="s">
        <v>61</v>
      </c>
      <c r="D71">
        <v>1772</v>
      </c>
      <c r="E71" t="s">
        <v>63</v>
      </c>
      <c r="F71">
        <v>1464</v>
      </c>
      <c r="G71">
        <v>10389.925546448087</v>
      </c>
      <c r="H71">
        <v>9046851</v>
      </c>
      <c r="I71">
        <v>1.467691596365996</v>
      </c>
      <c r="J71" t="s">
        <v>212</v>
      </c>
      <c r="K71">
        <v>9151343</v>
      </c>
    </row>
    <row r="72" spans="1:11" x14ac:dyDescent="0.25">
      <c r="A72" t="s">
        <v>61</v>
      </c>
      <c r="B72" t="s">
        <v>62</v>
      </c>
      <c r="C72" t="s">
        <v>61</v>
      </c>
      <c r="D72">
        <v>1772</v>
      </c>
      <c r="E72" t="s">
        <v>63</v>
      </c>
      <c r="F72">
        <v>1464</v>
      </c>
      <c r="G72">
        <v>10389.925546448087</v>
      </c>
      <c r="H72">
        <v>9046851</v>
      </c>
      <c r="I72">
        <v>1.467691596365996</v>
      </c>
      <c r="J72" t="s">
        <v>213</v>
      </c>
      <c r="K72">
        <v>12517360</v>
      </c>
    </row>
    <row r="73" spans="1:11" x14ac:dyDescent="0.25">
      <c r="A73" t="s">
        <v>61</v>
      </c>
      <c r="B73" t="s">
        <v>62</v>
      </c>
      <c r="C73" t="s">
        <v>61</v>
      </c>
      <c r="D73">
        <v>1772</v>
      </c>
      <c r="E73" t="s">
        <v>63</v>
      </c>
      <c r="F73">
        <v>1464</v>
      </c>
      <c r="G73">
        <v>10389.925546448087</v>
      </c>
      <c r="H73">
        <v>9046851</v>
      </c>
      <c r="I73">
        <v>1.467691596365996</v>
      </c>
      <c r="J73" t="s">
        <v>214</v>
      </c>
      <c r="K73">
        <v>15210851</v>
      </c>
    </row>
    <row r="74" spans="1:11" x14ac:dyDescent="0.25">
      <c r="A74" t="s">
        <v>64</v>
      </c>
      <c r="B74" t="s">
        <v>65</v>
      </c>
      <c r="C74" t="s">
        <v>61</v>
      </c>
      <c r="D74">
        <v>1815</v>
      </c>
      <c r="E74" t="s">
        <v>66</v>
      </c>
      <c r="F74">
        <v>2053</v>
      </c>
      <c r="G74">
        <v>1087.5655138821237</v>
      </c>
      <c r="H74">
        <v>673772</v>
      </c>
      <c r="I74">
        <v>0.43218216805644644</v>
      </c>
      <c r="J74" t="s">
        <v>211</v>
      </c>
      <c r="K74">
        <v>1559000</v>
      </c>
    </row>
    <row r="75" spans="1:11" x14ac:dyDescent="0.25">
      <c r="A75" t="s">
        <v>64</v>
      </c>
      <c r="B75" t="s">
        <v>65</v>
      </c>
      <c r="C75" t="s">
        <v>61</v>
      </c>
      <c r="D75">
        <v>1815</v>
      </c>
      <c r="E75" t="s">
        <v>66</v>
      </c>
      <c r="F75">
        <v>2053</v>
      </c>
      <c r="G75">
        <v>1087.5655138821237</v>
      </c>
      <c r="H75">
        <v>673772</v>
      </c>
      <c r="I75">
        <v>0.43218216805644644</v>
      </c>
      <c r="J75" t="s">
        <v>212</v>
      </c>
      <c r="K75">
        <v>1837631</v>
      </c>
    </row>
    <row r="76" spans="1:11" x14ac:dyDescent="0.25">
      <c r="A76" t="s">
        <v>64</v>
      </c>
      <c r="B76" t="s">
        <v>65</v>
      </c>
      <c r="C76" t="s">
        <v>61</v>
      </c>
      <c r="D76">
        <v>1815</v>
      </c>
      <c r="E76" t="s">
        <v>66</v>
      </c>
      <c r="F76">
        <v>2053</v>
      </c>
      <c r="G76">
        <v>1087.5655138821237</v>
      </c>
      <c r="H76">
        <v>673772</v>
      </c>
      <c r="I76">
        <v>0.43218216805644644</v>
      </c>
      <c r="J76" t="s">
        <v>213</v>
      </c>
      <c r="K76">
        <v>1988695</v>
      </c>
    </row>
    <row r="77" spans="1:11" x14ac:dyDescent="0.25">
      <c r="A77" t="s">
        <v>64</v>
      </c>
      <c r="B77" t="s">
        <v>65</v>
      </c>
      <c r="C77" t="s">
        <v>61</v>
      </c>
      <c r="D77">
        <v>1815</v>
      </c>
      <c r="E77" t="s">
        <v>66</v>
      </c>
      <c r="F77">
        <v>2053</v>
      </c>
      <c r="G77">
        <v>1087.5655138821237</v>
      </c>
      <c r="H77">
        <v>673772</v>
      </c>
      <c r="I77">
        <v>0.43218216805644644</v>
      </c>
      <c r="J77" t="s">
        <v>214</v>
      </c>
      <c r="K77">
        <v>2232772</v>
      </c>
    </row>
    <row r="78" spans="1:11" x14ac:dyDescent="0.25">
      <c r="A78" t="s">
        <v>67</v>
      </c>
      <c r="B78" t="s">
        <v>68</v>
      </c>
      <c r="C78" t="s">
        <v>61</v>
      </c>
      <c r="D78">
        <v>1984</v>
      </c>
      <c r="E78" t="s">
        <v>69</v>
      </c>
      <c r="F78">
        <v>1806</v>
      </c>
      <c r="G78">
        <v>3008.6035437430787</v>
      </c>
      <c r="H78">
        <v>3750538</v>
      </c>
      <c r="I78">
        <v>2.2284836601307187</v>
      </c>
      <c r="J78" t="s">
        <v>211</v>
      </c>
      <c r="K78">
        <v>1683000</v>
      </c>
    </row>
    <row r="79" spans="1:11" x14ac:dyDescent="0.25">
      <c r="A79" t="s">
        <v>67</v>
      </c>
      <c r="B79" t="s">
        <v>68</v>
      </c>
      <c r="C79" t="s">
        <v>61</v>
      </c>
      <c r="D79">
        <v>1984</v>
      </c>
      <c r="E79" t="s">
        <v>69</v>
      </c>
      <c r="F79">
        <v>1806</v>
      </c>
      <c r="G79">
        <v>3008.6035437430787</v>
      </c>
      <c r="H79">
        <v>3750538</v>
      </c>
      <c r="I79">
        <v>2.2284836601307187</v>
      </c>
      <c r="J79" t="s">
        <v>212</v>
      </c>
      <c r="K79">
        <v>2142179</v>
      </c>
    </row>
    <row r="80" spans="1:11" x14ac:dyDescent="0.25">
      <c r="A80" t="s">
        <v>67</v>
      </c>
      <c r="B80" t="s">
        <v>68</v>
      </c>
      <c r="C80" t="s">
        <v>61</v>
      </c>
      <c r="D80">
        <v>1984</v>
      </c>
      <c r="E80" t="s">
        <v>69</v>
      </c>
      <c r="F80">
        <v>1806</v>
      </c>
      <c r="G80">
        <v>3008.6035437430787</v>
      </c>
      <c r="H80">
        <v>3750538</v>
      </c>
      <c r="I80">
        <v>2.2284836601307187</v>
      </c>
      <c r="J80" t="s">
        <v>213</v>
      </c>
      <c r="K80">
        <v>3548115</v>
      </c>
    </row>
    <row r="81" spans="1:11" x14ac:dyDescent="0.25">
      <c r="A81" t="s">
        <v>67</v>
      </c>
      <c r="B81" t="s">
        <v>68</v>
      </c>
      <c r="C81" t="s">
        <v>61</v>
      </c>
      <c r="D81">
        <v>1984</v>
      </c>
      <c r="E81" t="s">
        <v>69</v>
      </c>
      <c r="F81">
        <v>1806</v>
      </c>
      <c r="G81">
        <v>3008.6035437430787</v>
      </c>
      <c r="H81">
        <v>3750538</v>
      </c>
      <c r="I81">
        <v>2.2284836601307187</v>
      </c>
      <c r="J81" t="s">
        <v>214</v>
      </c>
      <c r="K81">
        <v>5433538</v>
      </c>
    </row>
    <row r="82" spans="1:11" x14ac:dyDescent="0.25">
      <c r="A82" t="s">
        <v>70</v>
      </c>
      <c r="B82" t="s">
        <v>71</v>
      </c>
      <c r="C82" t="s">
        <v>61</v>
      </c>
      <c r="D82">
        <v>1984</v>
      </c>
      <c r="E82" t="s">
        <v>72</v>
      </c>
      <c r="F82">
        <v>1469</v>
      </c>
      <c r="G82">
        <v>910.07964601769913</v>
      </c>
      <c r="H82">
        <v>239907</v>
      </c>
      <c r="I82">
        <v>0.21869371011850502</v>
      </c>
      <c r="J82" t="s">
        <v>211</v>
      </c>
      <c r="K82">
        <v>1097000</v>
      </c>
    </row>
    <row r="83" spans="1:11" x14ac:dyDescent="0.25">
      <c r="A83" t="s">
        <v>70</v>
      </c>
      <c r="B83" t="s">
        <v>71</v>
      </c>
      <c r="C83" t="s">
        <v>61</v>
      </c>
      <c r="D83">
        <v>1984</v>
      </c>
      <c r="E83" t="s">
        <v>72</v>
      </c>
      <c r="F83">
        <v>1469</v>
      </c>
      <c r="G83">
        <v>910.07964601769913</v>
      </c>
      <c r="H83">
        <v>239907</v>
      </c>
      <c r="I83">
        <v>0.21869371011850502</v>
      </c>
      <c r="J83" t="s">
        <v>212</v>
      </c>
      <c r="K83">
        <v>1218789</v>
      </c>
    </row>
    <row r="84" spans="1:11" x14ac:dyDescent="0.25">
      <c r="A84" t="s">
        <v>70</v>
      </c>
      <c r="B84" t="s">
        <v>71</v>
      </c>
      <c r="C84" t="s">
        <v>61</v>
      </c>
      <c r="D84">
        <v>1984</v>
      </c>
      <c r="E84" t="s">
        <v>72</v>
      </c>
      <c r="F84">
        <v>1469</v>
      </c>
      <c r="G84">
        <v>910.07964601769913</v>
      </c>
      <c r="H84">
        <v>239907</v>
      </c>
      <c r="I84">
        <v>0.21869371011850502</v>
      </c>
      <c r="J84" t="s">
        <v>213</v>
      </c>
      <c r="K84">
        <v>1218319</v>
      </c>
    </row>
    <row r="85" spans="1:11" x14ac:dyDescent="0.25">
      <c r="A85" t="s">
        <v>70</v>
      </c>
      <c r="B85" t="s">
        <v>71</v>
      </c>
      <c r="C85" t="s">
        <v>61</v>
      </c>
      <c r="D85">
        <v>1984</v>
      </c>
      <c r="E85" t="s">
        <v>72</v>
      </c>
      <c r="F85">
        <v>1469</v>
      </c>
      <c r="G85">
        <v>910.07964601769913</v>
      </c>
      <c r="H85">
        <v>239907</v>
      </c>
      <c r="I85">
        <v>0.21869371011850502</v>
      </c>
      <c r="J85" t="s">
        <v>214</v>
      </c>
      <c r="K85">
        <v>1336907</v>
      </c>
    </row>
    <row r="86" spans="1:11" x14ac:dyDescent="0.25">
      <c r="A86" t="s">
        <v>73</v>
      </c>
      <c r="B86" t="s">
        <v>74</v>
      </c>
      <c r="C86" t="s">
        <v>61</v>
      </c>
      <c r="D86">
        <v>1984</v>
      </c>
      <c r="E86" t="s">
        <v>75</v>
      </c>
      <c r="F86">
        <v>2689</v>
      </c>
      <c r="G86">
        <v>1254.451097062105</v>
      </c>
      <c r="H86">
        <v>985219</v>
      </c>
      <c r="I86">
        <v>0.412570770519263</v>
      </c>
      <c r="J86" t="s">
        <v>211</v>
      </c>
      <c r="K86">
        <v>2388000</v>
      </c>
    </row>
    <row r="87" spans="1:11" x14ac:dyDescent="0.25">
      <c r="A87" t="s">
        <v>73</v>
      </c>
      <c r="B87" t="s">
        <v>74</v>
      </c>
      <c r="C87" t="s">
        <v>61</v>
      </c>
      <c r="D87">
        <v>1984</v>
      </c>
      <c r="E87" t="s">
        <v>75</v>
      </c>
      <c r="F87">
        <v>2689</v>
      </c>
      <c r="G87">
        <v>1254.451097062105</v>
      </c>
      <c r="H87">
        <v>985219</v>
      </c>
      <c r="I87">
        <v>0.412570770519263</v>
      </c>
      <c r="J87" t="s">
        <v>212</v>
      </c>
      <c r="K87">
        <v>2714721</v>
      </c>
    </row>
    <row r="88" spans="1:11" x14ac:dyDescent="0.25">
      <c r="A88" t="s">
        <v>73</v>
      </c>
      <c r="B88" t="s">
        <v>74</v>
      </c>
      <c r="C88" t="s">
        <v>61</v>
      </c>
      <c r="D88">
        <v>1984</v>
      </c>
      <c r="E88" t="s">
        <v>75</v>
      </c>
      <c r="F88">
        <v>2689</v>
      </c>
      <c r="G88">
        <v>1254.451097062105</v>
      </c>
      <c r="H88">
        <v>985219</v>
      </c>
      <c r="I88">
        <v>0.412570770519263</v>
      </c>
      <c r="J88" t="s">
        <v>213</v>
      </c>
      <c r="K88">
        <v>3028706</v>
      </c>
    </row>
    <row r="89" spans="1:11" x14ac:dyDescent="0.25">
      <c r="A89" t="s">
        <v>73</v>
      </c>
      <c r="B89" t="s">
        <v>74</v>
      </c>
      <c r="C89" t="s">
        <v>61</v>
      </c>
      <c r="D89">
        <v>1984</v>
      </c>
      <c r="E89" t="s">
        <v>75</v>
      </c>
      <c r="F89">
        <v>2689</v>
      </c>
      <c r="G89">
        <v>1254.451097062105</v>
      </c>
      <c r="H89">
        <v>985219</v>
      </c>
      <c r="I89">
        <v>0.412570770519263</v>
      </c>
      <c r="J89" t="s">
        <v>214</v>
      </c>
      <c r="K89">
        <v>3373219</v>
      </c>
    </row>
    <row r="90" spans="1:11" x14ac:dyDescent="0.25">
      <c r="A90" t="s">
        <v>76</v>
      </c>
      <c r="B90" t="s">
        <v>77</v>
      </c>
      <c r="C90" t="s">
        <v>61</v>
      </c>
      <c r="D90">
        <v>1984</v>
      </c>
      <c r="E90" t="s">
        <v>78</v>
      </c>
      <c r="F90">
        <v>1126</v>
      </c>
      <c r="G90">
        <v>1185.4449378330373</v>
      </c>
      <c r="H90">
        <v>228811</v>
      </c>
      <c r="I90">
        <v>0.20688155515370704</v>
      </c>
      <c r="J90" t="s">
        <v>211</v>
      </c>
      <c r="K90">
        <v>1106000</v>
      </c>
    </row>
    <row r="91" spans="1:11" x14ac:dyDescent="0.25">
      <c r="A91" t="s">
        <v>76</v>
      </c>
      <c r="B91" t="s">
        <v>77</v>
      </c>
      <c r="C91" t="s">
        <v>61</v>
      </c>
      <c r="D91">
        <v>1984</v>
      </c>
      <c r="E91" t="s">
        <v>78</v>
      </c>
      <c r="F91">
        <v>1126</v>
      </c>
      <c r="G91">
        <v>1185.4449378330373</v>
      </c>
      <c r="H91">
        <v>228811</v>
      </c>
      <c r="I91">
        <v>0.20688155515370704</v>
      </c>
      <c r="J91" t="s">
        <v>212</v>
      </c>
      <c r="K91">
        <v>1199374</v>
      </c>
    </row>
    <row r="92" spans="1:11" x14ac:dyDescent="0.25">
      <c r="A92" t="s">
        <v>76</v>
      </c>
      <c r="B92" t="s">
        <v>77</v>
      </c>
      <c r="C92" t="s">
        <v>61</v>
      </c>
      <c r="D92">
        <v>1984</v>
      </c>
      <c r="E92" t="s">
        <v>78</v>
      </c>
      <c r="F92">
        <v>1126</v>
      </c>
      <c r="G92">
        <v>1185.4449378330373</v>
      </c>
      <c r="H92">
        <v>228811</v>
      </c>
      <c r="I92">
        <v>0.20688155515370704</v>
      </c>
      <c r="J92" t="s">
        <v>213</v>
      </c>
      <c r="K92">
        <v>1212199</v>
      </c>
    </row>
    <row r="93" spans="1:11" x14ac:dyDescent="0.25">
      <c r="A93" t="s">
        <v>76</v>
      </c>
      <c r="B93" t="s">
        <v>77</v>
      </c>
      <c r="C93" t="s">
        <v>61</v>
      </c>
      <c r="D93">
        <v>1984</v>
      </c>
      <c r="E93" t="s">
        <v>78</v>
      </c>
      <c r="F93">
        <v>1126</v>
      </c>
      <c r="G93">
        <v>1185.4449378330373</v>
      </c>
      <c r="H93">
        <v>228811</v>
      </c>
      <c r="I93">
        <v>0.20688155515370704</v>
      </c>
      <c r="J93" t="s">
        <v>214</v>
      </c>
      <c r="K93">
        <v>1334811</v>
      </c>
    </row>
    <row r="94" spans="1:11" x14ac:dyDescent="0.25">
      <c r="A94" t="s">
        <v>79</v>
      </c>
      <c r="B94" t="s">
        <v>80</v>
      </c>
      <c r="C94" t="s">
        <v>61</v>
      </c>
      <c r="D94">
        <v>1984</v>
      </c>
      <c r="E94" t="s">
        <v>81</v>
      </c>
      <c r="F94">
        <v>1384</v>
      </c>
      <c r="G94">
        <v>1162.1184971098266</v>
      </c>
      <c r="H94">
        <v>392372</v>
      </c>
      <c r="I94">
        <v>0.32267434210526313</v>
      </c>
      <c r="J94" t="s">
        <v>211</v>
      </c>
      <c r="K94">
        <v>1216000</v>
      </c>
    </row>
    <row r="95" spans="1:11" x14ac:dyDescent="0.25">
      <c r="A95" t="s">
        <v>79</v>
      </c>
      <c r="B95" t="s">
        <v>80</v>
      </c>
      <c r="C95" t="s">
        <v>61</v>
      </c>
      <c r="D95">
        <v>1984</v>
      </c>
      <c r="E95" t="s">
        <v>81</v>
      </c>
      <c r="F95">
        <v>1384</v>
      </c>
      <c r="G95">
        <v>1162.1184971098266</v>
      </c>
      <c r="H95">
        <v>392372</v>
      </c>
      <c r="I95">
        <v>0.32267434210526313</v>
      </c>
      <c r="J95" t="s">
        <v>212</v>
      </c>
      <c r="K95">
        <v>1343468</v>
      </c>
    </row>
    <row r="96" spans="1:11" x14ac:dyDescent="0.25">
      <c r="A96" t="s">
        <v>79</v>
      </c>
      <c r="B96" t="s">
        <v>80</v>
      </c>
      <c r="C96" t="s">
        <v>61</v>
      </c>
      <c r="D96">
        <v>1984</v>
      </c>
      <c r="E96" t="s">
        <v>81</v>
      </c>
      <c r="F96">
        <v>1384</v>
      </c>
      <c r="G96">
        <v>1162.1184971098266</v>
      </c>
      <c r="H96">
        <v>392372</v>
      </c>
      <c r="I96">
        <v>0.32267434210526313</v>
      </c>
      <c r="J96" t="s">
        <v>213</v>
      </c>
      <c r="K96">
        <v>1447301</v>
      </c>
    </row>
    <row r="97" spans="1:11" x14ac:dyDescent="0.25">
      <c r="A97" t="s">
        <v>79</v>
      </c>
      <c r="B97" t="s">
        <v>80</v>
      </c>
      <c r="C97" t="s">
        <v>61</v>
      </c>
      <c r="D97">
        <v>1984</v>
      </c>
      <c r="E97" t="s">
        <v>81</v>
      </c>
      <c r="F97">
        <v>1384</v>
      </c>
      <c r="G97">
        <v>1162.1184971098266</v>
      </c>
      <c r="H97">
        <v>392372</v>
      </c>
      <c r="I97">
        <v>0.32267434210526313</v>
      </c>
      <c r="J97" t="s">
        <v>214</v>
      </c>
      <c r="K97">
        <v>1608372</v>
      </c>
    </row>
    <row r="98" spans="1:11" x14ac:dyDescent="0.25">
      <c r="A98" t="s">
        <v>82</v>
      </c>
      <c r="B98" t="s">
        <v>83</v>
      </c>
      <c r="C98" t="s">
        <v>61</v>
      </c>
      <c r="D98">
        <v>1984</v>
      </c>
      <c r="E98" t="s">
        <v>84</v>
      </c>
      <c r="F98">
        <v>1004</v>
      </c>
      <c r="G98">
        <v>1671.2559760956176</v>
      </c>
      <c r="H98">
        <v>448941</v>
      </c>
      <c r="I98">
        <v>0.36528966639544347</v>
      </c>
      <c r="J98" t="s">
        <v>211</v>
      </c>
      <c r="K98">
        <v>1229000</v>
      </c>
    </row>
    <row r="99" spans="1:11" x14ac:dyDescent="0.25">
      <c r="A99" t="s">
        <v>82</v>
      </c>
      <c r="B99" t="s">
        <v>83</v>
      </c>
      <c r="C99" t="s">
        <v>61</v>
      </c>
      <c r="D99">
        <v>1984</v>
      </c>
      <c r="E99" t="s">
        <v>84</v>
      </c>
      <c r="F99">
        <v>1004</v>
      </c>
      <c r="G99">
        <v>1671.2559760956176</v>
      </c>
      <c r="H99">
        <v>448941</v>
      </c>
      <c r="I99">
        <v>0.36528966639544347</v>
      </c>
      <c r="J99" t="s">
        <v>212</v>
      </c>
      <c r="K99">
        <v>1353615</v>
      </c>
    </row>
    <row r="100" spans="1:11" x14ac:dyDescent="0.25">
      <c r="A100" t="s">
        <v>82</v>
      </c>
      <c r="B100" t="s">
        <v>83</v>
      </c>
      <c r="C100" t="s">
        <v>61</v>
      </c>
      <c r="D100">
        <v>1984</v>
      </c>
      <c r="E100" t="s">
        <v>84</v>
      </c>
      <c r="F100">
        <v>1004</v>
      </c>
      <c r="G100">
        <v>1671.2559760956176</v>
      </c>
      <c r="H100">
        <v>448941</v>
      </c>
      <c r="I100">
        <v>0.36528966639544347</v>
      </c>
      <c r="J100" t="s">
        <v>213</v>
      </c>
      <c r="K100">
        <v>1502449</v>
      </c>
    </row>
    <row r="101" spans="1:11" x14ac:dyDescent="0.25">
      <c r="A101" t="s">
        <v>82</v>
      </c>
      <c r="B101" t="s">
        <v>83</v>
      </c>
      <c r="C101" t="s">
        <v>61</v>
      </c>
      <c r="D101">
        <v>1984</v>
      </c>
      <c r="E101" t="s">
        <v>84</v>
      </c>
      <c r="F101">
        <v>1004</v>
      </c>
      <c r="G101">
        <v>1671.2559760956176</v>
      </c>
      <c r="H101">
        <v>448941</v>
      </c>
      <c r="I101">
        <v>0.36528966639544347</v>
      </c>
      <c r="J101" t="s">
        <v>214</v>
      </c>
      <c r="K101">
        <v>1677941</v>
      </c>
    </row>
    <row r="102" spans="1:11" x14ac:dyDescent="0.25">
      <c r="A102" t="s">
        <v>85</v>
      </c>
      <c r="B102" t="s">
        <v>86</v>
      </c>
      <c r="C102" t="s">
        <v>61</v>
      </c>
      <c r="D102">
        <v>1984</v>
      </c>
      <c r="E102" t="s">
        <v>87</v>
      </c>
      <c r="F102">
        <v>684</v>
      </c>
      <c r="G102">
        <v>5899.7967836257312</v>
      </c>
      <c r="H102">
        <v>2216461</v>
      </c>
      <c r="I102">
        <v>1.2185052226498077</v>
      </c>
      <c r="J102" t="s">
        <v>211</v>
      </c>
      <c r="K102">
        <v>1819000</v>
      </c>
    </row>
    <row r="103" spans="1:11" x14ac:dyDescent="0.25">
      <c r="A103" t="s">
        <v>85</v>
      </c>
      <c r="B103" t="s">
        <v>86</v>
      </c>
      <c r="C103" t="s">
        <v>61</v>
      </c>
      <c r="D103">
        <v>1984</v>
      </c>
      <c r="E103" t="s">
        <v>87</v>
      </c>
      <c r="F103">
        <v>684</v>
      </c>
      <c r="G103">
        <v>5899.7967836257312</v>
      </c>
      <c r="H103">
        <v>2216461</v>
      </c>
      <c r="I103">
        <v>1.2185052226498077</v>
      </c>
      <c r="J103" t="s">
        <v>212</v>
      </c>
      <c r="K103">
        <v>2289797</v>
      </c>
    </row>
    <row r="104" spans="1:11" x14ac:dyDescent="0.25">
      <c r="A104" t="s">
        <v>85</v>
      </c>
      <c r="B104" t="s">
        <v>86</v>
      </c>
      <c r="C104" t="s">
        <v>61</v>
      </c>
      <c r="D104">
        <v>1984</v>
      </c>
      <c r="E104" t="s">
        <v>87</v>
      </c>
      <c r="F104">
        <v>684</v>
      </c>
      <c r="G104">
        <v>5899.7967836257312</v>
      </c>
      <c r="H104">
        <v>2216461</v>
      </c>
      <c r="I104">
        <v>1.2185052226498077</v>
      </c>
      <c r="J104" t="s">
        <v>213</v>
      </c>
      <c r="K104">
        <v>3074078</v>
      </c>
    </row>
    <row r="105" spans="1:11" x14ac:dyDescent="0.25">
      <c r="A105" t="s">
        <v>85</v>
      </c>
      <c r="B105" t="s">
        <v>86</v>
      </c>
      <c r="C105" t="s">
        <v>61</v>
      </c>
      <c r="D105">
        <v>1984</v>
      </c>
      <c r="E105" t="s">
        <v>87</v>
      </c>
      <c r="F105">
        <v>684</v>
      </c>
      <c r="G105">
        <v>5899.7967836257312</v>
      </c>
      <c r="H105">
        <v>2216461</v>
      </c>
      <c r="I105">
        <v>1.2185052226498077</v>
      </c>
      <c r="J105" t="s">
        <v>214</v>
      </c>
      <c r="K105">
        <v>4035461</v>
      </c>
    </row>
    <row r="106" spans="1:11" x14ac:dyDescent="0.25">
      <c r="A106" t="s">
        <v>88</v>
      </c>
      <c r="B106" t="s">
        <v>89</v>
      </c>
      <c r="C106" t="s">
        <v>61</v>
      </c>
      <c r="D106">
        <v>1984</v>
      </c>
      <c r="E106" t="s">
        <v>90</v>
      </c>
      <c r="F106">
        <v>1150</v>
      </c>
      <c r="G106">
        <v>2319.9721739130437</v>
      </c>
      <c r="H106">
        <v>957968</v>
      </c>
      <c r="I106">
        <v>0.56021520467836261</v>
      </c>
      <c r="J106" t="s">
        <v>211</v>
      </c>
      <c r="K106">
        <v>1710000</v>
      </c>
    </row>
    <row r="107" spans="1:11" x14ac:dyDescent="0.25">
      <c r="A107" t="s">
        <v>88</v>
      </c>
      <c r="B107" t="s">
        <v>89</v>
      </c>
      <c r="C107" t="s">
        <v>61</v>
      </c>
      <c r="D107">
        <v>1984</v>
      </c>
      <c r="E107" t="s">
        <v>90</v>
      </c>
      <c r="F107">
        <v>1150</v>
      </c>
      <c r="G107">
        <v>2319.9721739130437</v>
      </c>
      <c r="H107">
        <v>957968</v>
      </c>
      <c r="I107">
        <v>0.56021520467836261</v>
      </c>
      <c r="J107" t="s">
        <v>212</v>
      </c>
      <c r="K107">
        <v>1983571</v>
      </c>
    </row>
    <row r="108" spans="1:11" x14ac:dyDescent="0.25">
      <c r="A108" t="s">
        <v>88</v>
      </c>
      <c r="B108" t="s">
        <v>89</v>
      </c>
      <c r="C108" t="s">
        <v>61</v>
      </c>
      <c r="D108">
        <v>1984</v>
      </c>
      <c r="E108" t="s">
        <v>90</v>
      </c>
      <c r="F108">
        <v>1150</v>
      </c>
      <c r="G108">
        <v>2319.9721739130437</v>
      </c>
      <c r="H108">
        <v>957968</v>
      </c>
      <c r="I108">
        <v>0.56021520467836261</v>
      </c>
      <c r="J108" t="s">
        <v>213</v>
      </c>
      <c r="K108">
        <v>2314889</v>
      </c>
    </row>
    <row r="109" spans="1:11" x14ac:dyDescent="0.25">
      <c r="A109" t="s">
        <v>88</v>
      </c>
      <c r="B109" t="s">
        <v>89</v>
      </c>
      <c r="C109" t="s">
        <v>61</v>
      </c>
      <c r="D109">
        <v>1984</v>
      </c>
      <c r="E109" t="s">
        <v>90</v>
      </c>
      <c r="F109">
        <v>1150</v>
      </c>
      <c r="G109">
        <v>2319.9721739130437</v>
      </c>
      <c r="H109">
        <v>957968</v>
      </c>
      <c r="I109">
        <v>0.56021520467836261</v>
      </c>
      <c r="J109" t="s">
        <v>214</v>
      </c>
      <c r="K109">
        <v>2667968</v>
      </c>
    </row>
    <row r="110" spans="1:11" x14ac:dyDescent="0.25">
      <c r="A110" t="s">
        <v>91</v>
      </c>
      <c r="B110" t="s">
        <v>92</v>
      </c>
      <c r="C110" t="s">
        <v>61</v>
      </c>
      <c r="D110">
        <v>1984</v>
      </c>
      <c r="E110" t="s">
        <v>93</v>
      </c>
      <c r="F110">
        <v>1092</v>
      </c>
      <c r="G110">
        <v>1124.78663003663</v>
      </c>
      <c r="H110">
        <v>362267</v>
      </c>
      <c r="I110">
        <v>0.41832217090069285</v>
      </c>
      <c r="J110" t="s">
        <v>211</v>
      </c>
      <c r="K110">
        <v>866000</v>
      </c>
    </row>
    <row r="111" spans="1:11" x14ac:dyDescent="0.25">
      <c r="A111" t="s">
        <v>91</v>
      </c>
      <c r="B111" t="s">
        <v>92</v>
      </c>
      <c r="C111" t="s">
        <v>61</v>
      </c>
      <c r="D111">
        <v>1984</v>
      </c>
      <c r="E111" t="s">
        <v>93</v>
      </c>
      <c r="F111">
        <v>1092</v>
      </c>
      <c r="G111">
        <v>1124.78663003663</v>
      </c>
      <c r="H111">
        <v>362267</v>
      </c>
      <c r="I111">
        <v>0.41832217090069285</v>
      </c>
      <c r="J111" t="s">
        <v>212</v>
      </c>
      <c r="K111">
        <v>996147</v>
      </c>
    </row>
    <row r="112" spans="1:11" x14ac:dyDescent="0.25">
      <c r="A112" t="s">
        <v>91</v>
      </c>
      <c r="B112" t="s">
        <v>92</v>
      </c>
      <c r="C112" t="s">
        <v>61</v>
      </c>
      <c r="D112">
        <v>1984</v>
      </c>
      <c r="E112" t="s">
        <v>93</v>
      </c>
      <c r="F112">
        <v>1092</v>
      </c>
      <c r="G112">
        <v>1124.78663003663</v>
      </c>
      <c r="H112">
        <v>362267</v>
      </c>
      <c r="I112">
        <v>0.41832217090069285</v>
      </c>
      <c r="J112" t="s">
        <v>213</v>
      </c>
      <c r="K112">
        <v>1091263</v>
      </c>
    </row>
    <row r="113" spans="1:11" x14ac:dyDescent="0.25">
      <c r="A113" t="s">
        <v>91</v>
      </c>
      <c r="B113" t="s">
        <v>92</v>
      </c>
      <c r="C113" t="s">
        <v>61</v>
      </c>
      <c r="D113">
        <v>1984</v>
      </c>
      <c r="E113" t="s">
        <v>93</v>
      </c>
      <c r="F113">
        <v>1092</v>
      </c>
      <c r="G113">
        <v>1124.78663003663</v>
      </c>
      <c r="H113">
        <v>362267</v>
      </c>
      <c r="I113">
        <v>0.41832217090069285</v>
      </c>
      <c r="J113" t="s">
        <v>214</v>
      </c>
      <c r="K113">
        <v>1228267</v>
      </c>
    </row>
    <row r="114" spans="1:11" x14ac:dyDescent="0.25">
      <c r="A114" t="s">
        <v>94</v>
      </c>
      <c r="B114" t="s">
        <v>95</v>
      </c>
      <c r="C114" t="s">
        <v>61</v>
      </c>
      <c r="D114">
        <v>1984</v>
      </c>
      <c r="E114" t="s">
        <v>96</v>
      </c>
      <c r="F114">
        <v>1174</v>
      </c>
      <c r="G114">
        <v>1138.3270868824532</v>
      </c>
      <c r="H114">
        <v>350396</v>
      </c>
      <c r="I114">
        <v>0.35537119675456391</v>
      </c>
      <c r="J114" t="s">
        <v>211</v>
      </c>
      <c r="K114">
        <v>986000</v>
      </c>
    </row>
    <row r="115" spans="1:11" x14ac:dyDescent="0.25">
      <c r="A115" t="s">
        <v>94</v>
      </c>
      <c r="B115" t="s">
        <v>95</v>
      </c>
      <c r="C115" t="s">
        <v>61</v>
      </c>
      <c r="D115">
        <v>1984</v>
      </c>
      <c r="E115" t="s">
        <v>96</v>
      </c>
      <c r="F115">
        <v>1174</v>
      </c>
      <c r="G115">
        <v>1138.3270868824532</v>
      </c>
      <c r="H115">
        <v>350396</v>
      </c>
      <c r="I115">
        <v>0.35537119675456391</v>
      </c>
      <c r="J115" t="s">
        <v>212</v>
      </c>
      <c r="K115">
        <v>1132535</v>
      </c>
    </row>
    <row r="116" spans="1:11" x14ac:dyDescent="0.25">
      <c r="A116" t="s">
        <v>94</v>
      </c>
      <c r="B116" t="s">
        <v>95</v>
      </c>
      <c r="C116" t="s">
        <v>61</v>
      </c>
      <c r="D116">
        <v>1984</v>
      </c>
      <c r="E116" t="s">
        <v>96</v>
      </c>
      <c r="F116">
        <v>1174</v>
      </c>
      <c r="G116">
        <v>1138.3270868824532</v>
      </c>
      <c r="H116">
        <v>350396</v>
      </c>
      <c r="I116">
        <v>0.35537119675456391</v>
      </c>
      <c r="J116" t="s">
        <v>213</v>
      </c>
      <c r="K116">
        <v>1201464</v>
      </c>
    </row>
    <row r="117" spans="1:11" x14ac:dyDescent="0.25">
      <c r="A117" t="s">
        <v>94</v>
      </c>
      <c r="B117" t="s">
        <v>95</v>
      </c>
      <c r="C117" t="s">
        <v>61</v>
      </c>
      <c r="D117">
        <v>1984</v>
      </c>
      <c r="E117" t="s">
        <v>96</v>
      </c>
      <c r="F117">
        <v>1174</v>
      </c>
      <c r="G117">
        <v>1138.3270868824532</v>
      </c>
      <c r="H117">
        <v>350396</v>
      </c>
      <c r="I117">
        <v>0.35537119675456391</v>
      </c>
      <c r="J117" t="s">
        <v>214</v>
      </c>
      <c r="K117">
        <v>1336396</v>
      </c>
    </row>
    <row r="118" spans="1:11" x14ac:dyDescent="0.25">
      <c r="A118" t="s">
        <v>97</v>
      </c>
      <c r="B118" t="s">
        <v>98</v>
      </c>
      <c r="C118" t="s">
        <v>61</v>
      </c>
      <c r="D118">
        <v>1969</v>
      </c>
      <c r="E118" t="s">
        <v>99</v>
      </c>
      <c r="F118">
        <v>3414</v>
      </c>
      <c r="G118">
        <v>1220.8796133567662</v>
      </c>
      <c r="H118">
        <v>1060083</v>
      </c>
      <c r="I118">
        <v>0.34108204633204631</v>
      </c>
      <c r="J118" t="s">
        <v>211</v>
      </c>
      <c r="K118">
        <v>3108000</v>
      </c>
    </row>
    <row r="119" spans="1:11" x14ac:dyDescent="0.25">
      <c r="A119" t="s">
        <v>97</v>
      </c>
      <c r="B119" t="s">
        <v>98</v>
      </c>
      <c r="C119" t="s">
        <v>61</v>
      </c>
      <c r="D119">
        <v>1969</v>
      </c>
      <c r="E119" t="s">
        <v>99</v>
      </c>
      <c r="F119">
        <v>3414</v>
      </c>
      <c r="G119">
        <v>1220.8796133567662</v>
      </c>
      <c r="H119">
        <v>1060083</v>
      </c>
      <c r="I119">
        <v>0.34108204633204631</v>
      </c>
      <c r="J119" t="s">
        <v>212</v>
      </c>
      <c r="K119">
        <v>3443497</v>
      </c>
    </row>
    <row r="120" spans="1:11" x14ac:dyDescent="0.25">
      <c r="A120" t="s">
        <v>97</v>
      </c>
      <c r="B120" t="s">
        <v>98</v>
      </c>
      <c r="C120" t="s">
        <v>61</v>
      </c>
      <c r="D120">
        <v>1969</v>
      </c>
      <c r="E120" t="s">
        <v>99</v>
      </c>
      <c r="F120">
        <v>3414</v>
      </c>
      <c r="G120">
        <v>1220.8796133567662</v>
      </c>
      <c r="H120">
        <v>1060083</v>
      </c>
      <c r="I120">
        <v>0.34108204633204631</v>
      </c>
      <c r="J120" t="s">
        <v>213</v>
      </c>
      <c r="K120">
        <v>3749086</v>
      </c>
    </row>
    <row r="121" spans="1:11" x14ac:dyDescent="0.25">
      <c r="A121" t="s">
        <v>97</v>
      </c>
      <c r="B121" t="s">
        <v>98</v>
      </c>
      <c r="C121" t="s">
        <v>61</v>
      </c>
      <c r="D121">
        <v>1969</v>
      </c>
      <c r="E121" t="s">
        <v>99</v>
      </c>
      <c r="F121">
        <v>3414</v>
      </c>
      <c r="G121">
        <v>1220.8796133567662</v>
      </c>
      <c r="H121">
        <v>1060083</v>
      </c>
      <c r="I121">
        <v>0.34108204633204631</v>
      </c>
      <c r="J121" t="s">
        <v>214</v>
      </c>
      <c r="K121">
        <v>4168083</v>
      </c>
    </row>
    <row r="122" spans="1:11" x14ac:dyDescent="0.25">
      <c r="A122" t="s">
        <v>100</v>
      </c>
      <c r="B122" t="s">
        <v>101</v>
      </c>
      <c r="C122" t="s">
        <v>102</v>
      </c>
      <c r="D122">
        <v>1978</v>
      </c>
      <c r="E122" t="s">
        <v>103</v>
      </c>
      <c r="F122">
        <v>2115</v>
      </c>
      <c r="G122">
        <v>1221.7418439716312</v>
      </c>
      <c r="H122">
        <v>640984</v>
      </c>
      <c r="I122">
        <v>0.32989397838394235</v>
      </c>
      <c r="J122" t="s">
        <v>211</v>
      </c>
      <c r="K122">
        <v>1943000</v>
      </c>
    </row>
    <row r="123" spans="1:11" x14ac:dyDescent="0.25">
      <c r="A123" t="s">
        <v>100</v>
      </c>
      <c r="B123" t="s">
        <v>101</v>
      </c>
      <c r="C123" t="s">
        <v>102</v>
      </c>
      <c r="D123">
        <v>1978</v>
      </c>
      <c r="E123" t="s">
        <v>103</v>
      </c>
      <c r="F123">
        <v>2115</v>
      </c>
      <c r="G123">
        <v>1221.7418439716312</v>
      </c>
      <c r="H123">
        <v>640984</v>
      </c>
      <c r="I123">
        <v>0.32989397838394235</v>
      </c>
      <c r="J123" t="s">
        <v>212</v>
      </c>
      <c r="K123">
        <v>2205766</v>
      </c>
    </row>
    <row r="124" spans="1:11" x14ac:dyDescent="0.25">
      <c r="A124" t="s">
        <v>100</v>
      </c>
      <c r="B124" t="s">
        <v>101</v>
      </c>
      <c r="C124" t="s">
        <v>102</v>
      </c>
      <c r="D124">
        <v>1978</v>
      </c>
      <c r="E124" t="s">
        <v>103</v>
      </c>
      <c r="F124">
        <v>2115</v>
      </c>
      <c r="G124">
        <v>1221.7418439716312</v>
      </c>
      <c r="H124">
        <v>640984</v>
      </c>
      <c r="I124">
        <v>0.32989397838394235</v>
      </c>
      <c r="J124" t="s">
        <v>213</v>
      </c>
      <c r="K124">
        <v>2384811</v>
      </c>
    </row>
    <row r="125" spans="1:11" x14ac:dyDescent="0.25">
      <c r="A125" t="s">
        <v>100</v>
      </c>
      <c r="B125" t="s">
        <v>101</v>
      </c>
      <c r="C125" t="s">
        <v>102</v>
      </c>
      <c r="D125">
        <v>1978</v>
      </c>
      <c r="E125" t="s">
        <v>103</v>
      </c>
      <c r="F125">
        <v>2115</v>
      </c>
      <c r="G125">
        <v>1221.7418439716312</v>
      </c>
      <c r="H125">
        <v>640984</v>
      </c>
      <c r="I125">
        <v>0.32989397838394235</v>
      </c>
      <c r="J125" t="s">
        <v>214</v>
      </c>
      <c r="K125">
        <v>2583984</v>
      </c>
    </row>
    <row r="126" spans="1:11" x14ac:dyDescent="0.25">
      <c r="A126" t="s">
        <v>102</v>
      </c>
      <c r="B126" t="s">
        <v>104</v>
      </c>
      <c r="C126" t="s">
        <v>102</v>
      </c>
      <c r="D126">
        <v>1787</v>
      </c>
      <c r="E126" t="s">
        <v>105</v>
      </c>
      <c r="F126">
        <v>4395</v>
      </c>
      <c r="G126">
        <v>1387.4434584755404</v>
      </c>
      <c r="H126">
        <v>2000814</v>
      </c>
      <c r="I126">
        <v>0.48836075176958749</v>
      </c>
      <c r="J126" t="s">
        <v>211</v>
      </c>
      <c r="K126">
        <v>4097000</v>
      </c>
    </row>
    <row r="127" spans="1:11" x14ac:dyDescent="0.25">
      <c r="A127" t="s">
        <v>102</v>
      </c>
      <c r="B127" t="s">
        <v>104</v>
      </c>
      <c r="C127" t="s">
        <v>102</v>
      </c>
      <c r="D127">
        <v>1787</v>
      </c>
      <c r="E127" t="s">
        <v>105</v>
      </c>
      <c r="F127">
        <v>4395</v>
      </c>
      <c r="G127">
        <v>1387.4434584755404</v>
      </c>
      <c r="H127">
        <v>2000814</v>
      </c>
      <c r="I127">
        <v>0.48836075176958749</v>
      </c>
      <c r="J127" t="s">
        <v>212</v>
      </c>
      <c r="K127">
        <v>4696966</v>
      </c>
    </row>
    <row r="128" spans="1:11" x14ac:dyDescent="0.25">
      <c r="A128" t="s">
        <v>102</v>
      </c>
      <c r="B128" t="s">
        <v>104</v>
      </c>
      <c r="C128" t="s">
        <v>102</v>
      </c>
      <c r="D128">
        <v>1787</v>
      </c>
      <c r="E128" t="s">
        <v>105</v>
      </c>
      <c r="F128">
        <v>4395</v>
      </c>
      <c r="G128">
        <v>1387.4434584755404</v>
      </c>
      <c r="H128">
        <v>2000814</v>
      </c>
      <c r="I128">
        <v>0.48836075176958749</v>
      </c>
      <c r="J128" t="s">
        <v>213</v>
      </c>
      <c r="K128">
        <v>5313163</v>
      </c>
    </row>
    <row r="129" spans="1:11" x14ac:dyDescent="0.25">
      <c r="A129" t="s">
        <v>102</v>
      </c>
      <c r="B129" t="s">
        <v>104</v>
      </c>
      <c r="C129" t="s">
        <v>102</v>
      </c>
      <c r="D129">
        <v>1787</v>
      </c>
      <c r="E129" t="s">
        <v>105</v>
      </c>
      <c r="F129">
        <v>4395</v>
      </c>
      <c r="G129">
        <v>1387.4434584755404</v>
      </c>
      <c r="H129">
        <v>2000814</v>
      </c>
      <c r="I129">
        <v>0.48836075176958749</v>
      </c>
      <c r="J129" t="s">
        <v>214</v>
      </c>
      <c r="K129">
        <v>6097814</v>
      </c>
    </row>
    <row r="130" spans="1:11" x14ac:dyDescent="0.25">
      <c r="A130" t="s">
        <v>106</v>
      </c>
      <c r="B130" t="s">
        <v>107</v>
      </c>
      <c r="C130" t="s">
        <v>102</v>
      </c>
      <c r="D130">
        <v>1984</v>
      </c>
      <c r="E130" t="s">
        <v>108</v>
      </c>
      <c r="F130">
        <v>2794</v>
      </c>
      <c r="G130">
        <v>860.13063707945594</v>
      </c>
      <c r="H130">
        <v>612205</v>
      </c>
      <c r="I130">
        <v>0.34182300390843107</v>
      </c>
      <c r="J130" t="s">
        <v>211</v>
      </c>
      <c r="K130">
        <v>1791000</v>
      </c>
    </row>
    <row r="131" spans="1:11" x14ac:dyDescent="0.25">
      <c r="A131" t="s">
        <v>106</v>
      </c>
      <c r="B131" t="s">
        <v>107</v>
      </c>
      <c r="C131" t="s">
        <v>102</v>
      </c>
      <c r="D131">
        <v>1984</v>
      </c>
      <c r="E131" t="s">
        <v>108</v>
      </c>
      <c r="F131">
        <v>2794</v>
      </c>
      <c r="G131">
        <v>860.13063707945594</v>
      </c>
      <c r="H131">
        <v>612205</v>
      </c>
      <c r="I131">
        <v>0.34182300390843107</v>
      </c>
      <c r="J131" t="s">
        <v>212</v>
      </c>
      <c r="K131">
        <v>2079716</v>
      </c>
    </row>
    <row r="132" spans="1:11" x14ac:dyDescent="0.25">
      <c r="A132" t="s">
        <v>106</v>
      </c>
      <c r="B132" t="s">
        <v>107</v>
      </c>
      <c r="C132" t="s">
        <v>102</v>
      </c>
      <c r="D132">
        <v>1984</v>
      </c>
      <c r="E132" t="s">
        <v>108</v>
      </c>
      <c r="F132">
        <v>2794</v>
      </c>
      <c r="G132">
        <v>860.13063707945594</v>
      </c>
      <c r="H132">
        <v>612205</v>
      </c>
      <c r="I132">
        <v>0.34182300390843107</v>
      </c>
      <c r="J132" t="s">
        <v>213</v>
      </c>
      <c r="K132">
        <v>2317190</v>
      </c>
    </row>
    <row r="133" spans="1:11" x14ac:dyDescent="0.25">
      <c r="A133" t="s">
        <v>106</v>
      </c>
      <c r="B133" t="s">
        <v>107</v>
      </c>
      <c r="C133" t="s">
        <v>102</v>
      </c>
      <c r="D133">
        <v>1984</v>
      </c>
      <c r="E133" t="s">
        <v>108</v>
      </c>
      <c r="F133">
        <v>2794</v>
      </c>
      <c r="G133">
        <v>860.13063707945594</v>
      </c>
      <c r="H133">
        <v>612205</v>
      </c>
      <c r="I133">
        <v>0.34182300390843107</v>
      </c>
      <c r="J133" t="s">
        <v>214</v>
      </c>
      <c r="K133">
        <v>2403205</v>
      </c>
    </row>
    <row r="134" spans="1:11" x14ac:dyDescent="0.25">
      <c r="A134" t="s">
        <v>109</v>
      </c>
      <c r="B134" t="s">
        <v>110</v>
      </c>
      <c r="C134" t="s">
        <v>102</v>
      </c>
      <c r="D134">
        <v>1984</v>
      </c>
      <c r="E134" t="s">
        <v>111</v>
      </c>
      <c r="F134">
        <v>1365</v>
      </c>
      <c r="G134">
        <v>1137.3399267399268</v>
      </c>
      <c r="H134">
        <v>373469</v>
      </c>
      <c r="I134">
        <v>0.31676759966072943</v>
      </c>
      <c r="J134" t="s">
        <v>211</v>
      </c>
      <c r="K134">
        <v>1179000</v>
      </c>
    </row>
    <row r="135" spans="1:11" x14ac:dyDescent="0.25">
      <c r="A135" t="s">
        <v>109</v>
      </c>
      <c r="B135" t="s">
        <v>110</v>
      </c>
      <c r="C135" t="s">
        <v>102</v>
      </c>
      <c r="D135">
        <v>1984</v>
      </c>
      <c r="E135" t="s">
        <v>111</v>
      </c>
      <c r="F135">
        <v>1365</v>
      </c>
      <c r="G135">
        <v>1137.3399267399268</v>
      </c>
      <c r="H135">
        <v>373469</v>
      </c>
      <c r="I135">
        <v>0.31676759966072943</v>
      </c>
      <c r="J135" t="s">
        <v>212</v>
      </c>
      <c r="K135">
        <v>1338834</v>
      </c>
    </row>
    <row r="136" spans="1:11" x14ac:dyDescent="0.25">
      <c r="A136" t="s">
        <v>109</v>
      </c>
      <c r="B136" t="s">
        <v>110</v>
      </c>
      <c r="C136" t="s">
        <v>102</v>
      </c>
      <c r="D136">
        <v>1984</v>
      </c>
      <c r="E136" t="s">
        <v>111</v>
      </c>
      <c r="F136">
        <v>1365</v>
      </c>
      <c r="G136">
        <v>1137.3399267399268</v>
      </c>
      <c r="H136">
        <v>373469</v>
      </c>
      <c r="I136">
        <v>0.31676759966072943</v>
      </c>
      <c r="J136" t="s">
        <v>213</v>
      </c>
      <c r="K136">
        <v>1412601</v>
      </c>
    </row>
    <row r="137" spans="1:11" x14ac:dyDescent="0.25">
      <c r="A137" t="s">
        <v>109</v>
      </c>
      <c r="B137" t="s">
        <v>110</v>
      </c>
      <c r="C137" t="s">
        <v>102</v>
      </c>
      <c r="D137">
        <v>1984</v>
      </c>
      <c r="E137" t="s">
        <v>111</v>
      </c>
      <c r="F137">
        <v>1365</v>
      </c>
      <c r="G137">
        <v>1137.3399267399268</v>
      </c>
      <c r="H137">
        <v>373469</v>
      </c>
      <c r="I137">
        <v>0.31676759966072943</v>
      </c>
      <c r="J137" t="s">
        <v>214</v>
      </c>
      <c r="K137">
        <v>1552469</v>
      </c>
    </row>
    <row r="138" spans="1:11" x14ac:dyDescent="0.25">
      <c r="A138" t="s">
        <v>112</v>
      </c>
      <c r="B138" t="s">
        <v>113</v>
      </c>
      <c r="C138" t="s">
        <v>114</v>
      </c>
      <c r="D138">
        <v>1984</v>
      </c>
      <c r="E138" t="s">
        <v>115</v>
      </c>
      <c r="F138">
        <v>3959</v>
      </c>
      <c r="G138">
        <v>416.74008588027277</v>
      </c>
      <c r="H138">
        <v>160874</v>
      </c>
      <c r="I138">
        <v>0.10804163868368032</v>
      </c>
      <c r="J138" t="s">
        <v>211</v>
      </c>
      <c r="K138">
        <v>1489000</v>
      </c>
    </row>
    <row r="139" spans="1:11" x14ac:dyDescent="0.25">
      <c r="A139" t="s">
        <v>112</v>
      </c>
      <c r="B139" t="s">
        <v>113</v>
      </c>
      <c r="C139" t="s">
        <v>114</v>
      </c>
      <c r="D139">
        <v>1984</v>
      </c>
      <c r="E139" t="s">
        <v>115</v>
      </c>
      <c r="F139">
        <v>3959</v>
      </c>
      <c r="G139">
        <v>416.74008588027277</v>
      </c>
      <c r="H139">
        <v>160874</v>
      </c>
      <c r="I139">
        <v>0.10804163868368032</v>
      </c>
      <c r="J139" t="s">
        <v>212</v>
      </c>
      <c r="K139">
        <v>1620216</v>
      </c>
    </row>
    <row r="140" spans="1:11" x14ac:dyDescent="0.25">
      <c r="A140" t="s">
        <v>112</v>
      </c>
      <c r="B140" t="s">
        <v>113</v>
      </c>
      <c r="C140" t="s">
        <v>114</v>
      </c>
      <c r="D140">
        <v>1984</v>
      </c>
      <c r="E140" t="s">
        <v>115</v>
      </c>
      <c r="F140">
        <v>3959</v>
      </c>
      <c r="G140">
        <v>416.74008588027277</v>
      </c>
      <c r="H140">
        <v>160874</v>
      </c>
      <c r="I140">
        <v>0.10804163868368032</v>
      </c>
      <c r="J140" t="s">
        <v>213</v>
      </c>
      <c r="K140">
        <v>1534012</v>
      </c>
    </row>
    <row r="141" spans="1:11" x14ac:dyDescent="0.25">
      <c r="A141" t="s">
        <v>112</v>
      </c>
      <c r="B141" t="s">
        <v>113</v>
      </c>
      <c r="C141" t="s">
        <v>114</v>
      </c>
      <c r="D141">
        <v>1984</v>
      </c>
      <c r="E141" t="s">
        <v>115</v>
      </c>
      <c r="F141">
        <v>3959</v>
      </c>
      <c r="G141">
        <v>416.74008588027277</v>
      </c>
      <c r="H141">
        <v>160874</v>
      </c>
      <c r="I141">
        <v>0.10804163868368032</v>
      </c>
      <c r="J141" t="s">
        <v>214</v>
      </c>
      <c r="K141">
        <v>1649874</v>
      </c>
    </row>
    <row r="142" spans="1:11" x14ac:dyDescent="0.25">
      <c r="A142" t="s">
        <v>116</v>
      </c>
      <c r="B142" t="s">
        <v>117</v>
      </c>
      <c r="C142" t="s">
        <v>114</v>
      </c>
      <c r="D142">
        <v>1984</v>
      </c>
      <c r="E142" t="s">
        <v>118</v>
      </c>
      <c r="F142">
        <v>1174</v>
      </c>
      <c r="G142">
        <v>1075.1320272572402</v>
      </c>
      <c r="H142">
        <v>419205</v>
      </c>
      <c r="I142">
        <v>0.4972775800711744</v>
      </c>
      <c r="J142" t="s">
        <v>211</v>
      </c>
      <c r="K142">
        <v>843000</v>
      </c>
    </row>
    <row r="143" spans="1:11" x14ac:dyDescent="0.25">
      <c r="A143" t="s">
        <v>116</v>
      </c>
      <c r="B143" t="s">
        <v>117</v>
      </c>
      <c r="C143" t="s">
        <v>114</v>
      </c>
      <c r="D143">
        <v>1984</v>
      </c>
      <c r="E143" t="s">
        <v>118</v>
      </c>
      <c r="F143">
        <v>1174</v>
      </c>
      <c r="G143">
        <v>1075.1320272572402</v>
      </c>
      <c r="H143">
        <v>419205</v>
      </c>
      <c r="I143">
        <v>0.4972775800711744</v>
      </c>
      <c r="J143" t="s">
        <v>212</v>
      </c>
      <c r="K143">
        <v>1053936</v>
      </c>
    </row>
    <row r="144" spans="1:11" x14ac:dyDescent="0.25">
      <c r="A144" t="s">
        <v>116</v>
      </c>
      <c r="B144" t="s">
        <v>117</v>
      </c>
      <c r="C144" t="s">
        <v>114</v>
      </c>
      <c r="D144">
        <v>1984</v>
      </c>
      <c r="E144" t="s">
        <v>118</v>
      </c>
      <c r="F144">
        <v>1174</v>
      </c>
      <c r="G144">
        <v>1075.1320272572402</v>
      </c>
      <c r="H144">
        <v>419205</v>
      </c>
      <c r="I144">
        <v>0.4972775800711744</v>
      </c>
      <c r="J144" t="s">
        <v>213</v>
      </c>
      <c r="K144">
        <v>1174836</v>
      </c>
    </row>
    <row r="145" spans="1:11" x14ac:dyDescent="0.25">
      <c r="A145" t="s">
        <v>116</v>
      </c>
      <c r="B145" t="s">
        <v>117</v>
      </c>
      <c r="C145" t="s">
        <v>114</v>
      </c>
      <c r="D145">
        <v>1984</v>
      </c>
      <c r="E145" t="s">
        <v>118</v>
      </c>
      <c r="F145">
        <v>1174</v>
      </c>
      <c r="G145">
        <v>1075.1320272572402</v>
      </c>
      <c r="H145">
        <v>419205</v>
      </c>
      <c r="I145">
        <v>0.4972775800711744</v>
      </c>
      <c r="J145" t="s">
        <v>214</v>
      </c>
      <c r="K145">
        <v>1262205</v>
      </c>
    </row>
    <row r="146" spans="1:11" x14ac:dyDescent="0.25">
      <c r="A146" t="s">
        <v>119</v>
      </c>
      <c r="B146" t="s">
        <v>120</v>
      </c>
      <c r="C146" t="s">
        <v>114</v>
      </c>
      <c r="D146">
        <v>1781</v>
      </c>
      <c r="E146" t="s">
        <v>121</v>
      </c>
      <c r="F146">
        <v>2607</v>
      </c>
      <c r="G146">
        <v>1206.8726505561949</v>
      </c>
      <c r="H146">
        <v>953317</v>
      </c>
      <c r="I146">
        <v>0.43470907432740535</v>
      </c>
      <c r="J146" t="s">
        <v>211</v>
      </c>
      <c r="K146">
        <v>2193000</v>
      </c>
    </row>
    <row r="147" spans="1:11" x14ac:dyDescent="0.25">
      <c r="A147" t="s">
        <v>119</v>
      </c>
      <c r="B147" t="s">
        <v>120</v>
      </c>
      <c r="C147" t="s">
        <v>114</v>
      </c>
      <c r="D147">
        <v>1781</v>
      </c>
      <c r="E147" t="s">
        <v>121</v>
      </c>
      <c r="F147">
        <v>2607</v>
      </c>
      <c r="G147">
        <v>1206.8726505561949</v>
      </c>
      <c r="H147">
        <v>953317</v>
      </c>
      <c r="I147">
        <v>0.43470907432740535</v>
      </c>
      <c r="J147" t="s">
        <v>212</v>
      </c>
      <c r="K147">
        <v>2586771</v>
      </c>
    </row>
    <row r="148" spans="1:11" x14ac:dyDescent="0.25">
      <c r="A148" t="s">
        <v>119</v>
      </c>
      <c r="B148" t="s">
        <v>120</v>
      </c>
      <c r="C148" t="s">
        <v>114</v>
      </c>
      <c r="D148">
        <v>1781</v>
      </c>
      <c r="E148" t="s">
        <v>121</v>
      </c>
      <c r="F148">
        <v>2607</v>
      </c>
      <c r="G148">
        <v>1206.8726505561949</v>
      </c>
      <c r="H148">
        <v>953317</v>
      </c>
      <c r="I148">
        <v>0.43470907432740535</v>
      </c>
      <c r="J148" t="s">
        <v>213</v>
      </c>
      <c r="K148">
        <v>2876380</v>
      </c>
    </row>
    <row r="149" spans="1:11" x14ac:dyDescent="0.25">
      <c r="A149" t="s">
        <v>119</v>
      </c>
      <c r="B149" t="s">
        <v>120</v>
      </c>
      <c r="C149" t="s">
        <v>114</v>
      </c>
      <c r="D149">
        <v>1781</v>
      </c>
      <c r="E149" t="s">
        <v>121</v>
      </c>
      <c r="F149">
        <v>2607</v>
      </c>
      <c r="G149">
        <v>1206.8726505561949</v>
      </c>
      <c r="H149">
        <v>953317</v>
      </c>
      <c r="I149">
        <v>0.43470907432740535</v>
      </c>
      <c r="J149" t="s">
        <v>214</v>
      </c>
      <c r="K149">
        <v>3146317</v>
      </c>
    </row>
    <row r="150" spans="1:11" x14ac:dyDescent="0.25">
      <c r="A150" t="s">
        <v>122</v>
      </c>
      <c r="B150" t="s">
        <v>123</v>
      </c>
      <c r="C150" t="s">
        <v>114</v>
      </c>
      <c r="D150">
        <v>1984</v>
      </c>
      <c r="E150" t="s">
        <v>124</v>
      </c>
      <c r="F150">
        <v>1965</v>
      </c>
      <c r="G150">
        <v>1044.0748091603054</v>
      </c>
      <c r="H150">
        <v>631607</v>
      </c>
      <c r="I150">
        <v>0.44479366197183101</v>
      </c>
      <c r="J150" t="s">
        <v>211</v>
      </c>
      <c r="K150">
        <v>1420000</v>
      </c>
    </row>
    <row r="151" spans="1:11" x14ac:dyDescent="0.25">
      <c r="A151" t="s">
        <v>122</v>
      </c>
      <c r="B151" t="s">
        <v>123</v>
      </c>
      <c r="C151" t="s">
        <v>114</v>
      </c>
      <c r="D151">
        <v>1984</v>
      </c>
      <c r="E151" t="s">
        <v>124</v>
      </c>
      <c r="F151">
        <v>1965</v>
      </c>
      <c r="G151">
        <v>1044.0748091603054</v>
      </c>
      <c r="H151">
        <v>631607</v>
      </c>
      <c r="I151">
        <v>0.44479366197183101</v>
      </c>
      <c r="J151" t="s">
        <v>212</v>
      </c>
      <c r="K151">
        <v>1653843</v>
      </c>
    </row>
    <row r="152" spans="1:11" x14ac:dyDescent="0.25">
      <c r="A152" t="s">
        <v>122</v>
      </c>
      <c r="B152" t="s">
        <v>123</v>
      </c>
      <c r="C152" t="s">
        <v>114</v>
      </c>
      <c r="D152">
        <v>1984</v>
      </c>
      <c r="E152" t="s">
        <v>124</v>
      </c>
      <c r="F152">
        <v>1965</v>
      </c>
      <c r="G152">
        <v>1044.0748091603054</v>
      </c>
      <c r="H152">
        <v>631607</v>
      </c>
      <c r="I152">
        <v>0.44479366197183101</v>
      </c>
      <c r="J152" t="s">
        <v>213</v>
      </c>
      <c r="K152">
        <v>1842573</v>
      </c>
    </row>
    <row r="153" spans="1:11" x14ac:dyDescent="0.25">
      <c r="A153" t="s">
        <v>122</v>
      </c>
      <c r="B153" t="s">
        <v>123</v>
      </c>
      <c r="C153" t="s">
        <v>114</v>
      </c>
      <c r="D153">
        <v>1984</v>
      </c>
      <c r="E153" t="s">
        <v>124</v>
      </c>
      <c r="F153">
        <v>1965</v>
      </c>
      <c r="G153">
        <v>1044.0748091603054</v>
      </c>
      <c r="H153">
        <v>631607</v>
      </c>
      <c r="I153">
        <v>0.44479366197183101</v>
      </c>
      <c r="J153" t="s">
        <v>214</v>
      </c>
      <c r="K153">
        <v>2051607</v>
      </c>
    </row>
    <row r="154" spans="1:11" x14ac:dyDescent="0.25">
      <c r="A154" t="s">
        <v>114</v>
      </c>
      <c r="B154" t="s">
        <v>125</v>
      </c>
      <c r="C154" t="s">
        <v>114</v>
      </c>
      <c r="D154">
        <v>1882</v>
      </c>
      <c r="E154" t="s">
        <v>126</v>
      </c>
      <c r="F154">
        <v>4394</v>
      </c>
      <c r="G154">
        <v>608.32999544833865</v>
      </c>
      <c r="H154">
        <v>542002</v>
      </c>
      <c r="I154">
        <v>0.25434162365086815</v>
      </c>
      <c r="J154" t="s">
        <v>211</v>
      </c>
      <c r="K154">
        <v>2131000</v>
      </c>
    </row>
    <row r="155" spans="1:11" x14ac:dyDescent="0.25">
      <c r="A155" t="s">
        <v>114</v>
      </c>
      <c r="B155" t="s">
        <v>125</v>
      </c>
      <c r="C155" t="s">
        <v>114</v>
      </c>
      <c r="D155">
        <v>1882</v>
      </c>
      <c r="E155" t="s">
        <v>126</v>
      </c>
      <c r="F155">
        <v>4394</v>
      </c>
      <c r="G155">
        <v>608.32999544833865</v>
      </c>
      <c r="H155">
        <v>542002</v>
      </c>
      <c r="I155">
        <v>0.25434162365086815</v>
      </c>
      <c r="J155" t="s">
        <v>212</v>
      </c>
      <c r="K155">
        <v>2520962</v>
      </c>
    </row>
    <row r="156" spans="1:11" x14ac:dyDescent="0.25">
      <c r="A156" t="s">
        <v>114</v>
      </c>
      <c r="B156" t="s">
        <v>125</v>
      </c>
      <c r="C156" t="s">
        <v>114</v>
      </c>
      <c r="D156">
        <v>1882</v>
      </c>
      <c r="E156" t="s">
        <v>126</v>
      </c>
      <c r="F156">
        <v>4394</v>
      </c>
      <c r="G156">
        <v>608.32999544833865</v>
      </c>
      <c r="H156">
        <v>542002</v>
      </c>
      <c r="I156">
        <v>0.25434162365086815</v>
      </c>
      <c r="J156" t="s">
        <v>213</v>
      </c>
      <c r="K156">
        <v>2407679</v>
      </c>
    </row>
    <row r="157" spans="1:11" x14ac:dyDescent="0.25">
      <c r="A157" t="s">
        <v>114</v>
      </c>
      <c r="B157" t="s">
        <v>125</v>
      </c>
      <c r="C157" t="s">
        <v>114</v>
      </c>
      <c r="D157">
        <v>1882</v>
      </c>
      <c r="E157" t="s">
        <v>126</v>
      </c>
      <c r="F157">
        <v>4394</v>
      </c>
      <c r="G157">
        <v>608.32999544833865</v>
      </c>
      <c r="H157">
        <v>542002</v>
      </c>
      <c r="I157">
        <v>0.25434162365086815</v>
      </c>
      <c r="J157" t="s">
        <v>214</v>
      </c>
      <c r="K157">
        <v>2673002</v>
      </c>
    </row>
    <row r="158" spans="1:11" x14ac:dyDescent="0.25">
      <c r="A158" t="s">
        <v>127</v>
      </c>
      <c r="B158" t="s">
        <v>128</v>
      </c>
      <c r="C158" t="s">
        <v>114</v>
      </c>
      <c r="D158">
        <v>1947</v>
      </c>
      <c r="E158" t="s">
        <v>129</v>
      </c>
      <c r="F158">
        <v>1609</v>
      </c>
      <c r="G158">
        <v>1366.5201988812928</v>
      </c>
      <c r="H158">
        <v>636731</v>
      </c>
      <c r="I158">
        <v>0.40763828425096033</v>
      </c>
      <c r="J158" t="s">
        <v>211</v>
      </c>
      <c r="K158">
        <v>1562000</v>
      </c>
    </row>
    <row r="159" spans="1:11" x14ac:dyDescent="0.25">
      <c r="A159" t="s">
        <v>127</v>
      </c>
      <c r="B159" t="s">
        <v>128</v>
      </c>
      <c r="C159" t="s">
        <v>114</v>
      </c>
      <c r="D159">
        <v>1947</v>
      </c>
      <c r="E159" t="s">
        <v>129</v>
      </c>
      <c r="F159">
        <v>1609</v>
      </c>
      <c r="G159">
        <v>1366.5201988812928</v>
      </c>
      <c r="H159">
        <v>636731</v>
      </c>
      <c r="I159">
        <v>0.40763828425096033</v>
      </c>
      <c r="J159" t="s">
        <v>212</v>
      </c>
      <c r="K159">
        <v>1820554</v>
      </c>
    </row>
    <row r="160" spans="1:11" x14ac:dyDescent="0.25">
      <c r="A160" t="s">
        <v>127</v>
      </c>
      <c r="B160" t="s">
        <v>128</v>
      </c>
      <c r="C160" t="s">
        <v>114</v>
      </c>
      <c r="D160">
        <v>1947</v>
      </c>
      <c r="E160" t="s">
        <v>129</v>
      </c>
      <c r="F160">
        <v>1609</v>
      </c>
      <c r="G160">
        <v>1366.5201988812928</v>
      </c>
      <c r="H160">
        <v>636731</v>
      </c>
      <c r="I160">
        <v>0.40763828425096033</v>
      </c>
      <c r="J160" t="s">
        <v>213</v>
      </c>
      <c r="K160">
        <v>2023657</v>
      </c>
    </row>
    <row r="161" spans="1:11" x14ac:dyDescent="0.25">
      <c r="A161" t="s">
        <v>127</v>
      </c>
      <c r="B161" t="s">
        <v>128</v>
      </c>
      <c r="C161" t="s">
        <v>114</v>
      </c>
      <c r="D161">
        <v>1947</v>
      </c>
      <c r="E161" t="s">
        <v>129</v>
      </c>
      <c r="F161">
        <v>1609</v>
      </c>
      <c r="G161">
        <v>1366.5201988812928</v>
      </c>
      <c r="H161">
        <v>636731</v>
      </c>
      <c r="I161">
        <v>0.40763828425096033</v>
      </c>
      <c r="J161" t="s">
        <v>214</v>
      </c>
      <c r="K161">
        <v>2198731</v>
      </c>
    </row>
    <row r="162" spans="1:11" x14ac:dyDescent="0.25">
      <c r="A162" t="s">
        <v>130</v>
      </c>
      <c r="B162" t="s">
        <v>131</v>
      </c>
      <c r="C162" t="s">
        <v>114</v>
      </c>
      <c r="D162">
        <v>1984</v>
      </c>
      <c r="E162" t="s">
        <v>132</v>
      </c>
      <c r="F162">
        <v>1039</v>
      </c>
      <c r="G162">
        <v>1017.0192492781521</v>
      </c>
      <c r="H162">
        <v>304683</v>
      </c>
      <c r="I162">
        <v>0.40516356382978724</v>
      </c>
      <c r="J162" t="s">
        <v>211</v>
      </c>
      <c r="K162">
        <v>752000</v>
      </c>
    </row>
    <row r="163" spans="1:11" x14ac:dyDescent="0.25">
      <c r="A163" t="s">
        <v>130</v>
      </c>
      <c r="B163" t="s">
        <v>131</v>
      </c>
      <c r="C163" t="s">
        <v>114</v>
      </c>
      <c r="D163">
        <v>1984</v>
      </c>
      <c r="E163" t="s">
        <v>132</v>
      </c>
      <c r="F163">
        <v>1039</v>
      </c>
      <c r="G163">
        <v>1017.0192492781521</v>
      </c>
      <c r="H163">
        <v>304683</v>
      </c>
      <c r="I163">
        <v>0.40516356382978724</v>
      </c>
      <c r="J163" t="s">
        <v>212</v>
      </c>
      <c r="K163">
        <v>862777</v>
      </c>
    </row>
    <row r="164" spans="1:11" x14ac:dyDescent="0.25">
      <c r="A164" t="s">
        <v>130</v>
      </c>
      <c r="B164" t="s">
        <v>131</v>
      </c>
      <c r="C164" t="s">
        <v>114</v>
      </c>
      <c r="D164">
        <v>1984</v>
      </c>
      <c r="E164" t="s">
        <v>132</v>
      </c>
      <c r="F164">
        <v>1039</v>
      </c>
      <c r="G164">
        <v>1017.0192492781521</v>
      </c>
      <c r="H164">
        <v>304683</v>
      </c>
      <c r="I164">
        <v>0.40516356382978724</v>
      </c>
      <c r="J164" t="s">
        <v>213</v>
      </c>
      <c r="K164">
        <v>954804</v>
      </c>
    </row>
    <row r="165" spans="1:11" x14ac:dyDescent="0.25">
      <c r="A165" t="s">
        <v>130</v>
      </c>
      <c r="B165" t="s">
        <v>131</v>
      </c>
      <c r="C165" t="s">
        <v>114</v>
      </c>
      <c r="D165">
        <v>1984</v>
      </c>
      <c r="E165" t="s">
        <v>132</v>
      </c>
      <c r="F165">
        <v>1039</v>
      </c>
      <c r="G165">
        <v>1017.0192492781521</v>
      </c>
      <c r="H165">
        <v>304683</v>
      </c>
      <c r="I165">
        <v>0.40516356382978724</v>
      </c>
      <c r="J165" t="s">
        <v>214</v>
      </c>
      <c r="K165">
        <v>1056683</v>
      </c>
    </row>
    <row r="166" spans="1:11" x14ac:dyDescent="0.25">
      <c r="A166" t="s">
        <v>133</v>
      </c>
      <c r="B166" t="s">
        <v>134</v>
      </c>
      <c r="C166" t="s">
        <v>114</v>
      </c>
      <c r="D166">
        <v>1984</v>
      </c>
      <c r="E166" t="s">
        <v>135</v>
      </c>
      <c r="F166">
        <v>752</v>
      </c>
      <c r="G166">
        <v>959.37101063829789</v>
      </c>
      <c r="H166">
        <v>210447</v>
      </c>
      <c r="I166">
        <v>0.41183365949119372</v>
      </c>
      <c r="J166" t="s">
        <v>211</v>
      </c>
      <c r="K166">
        <v>511000</v>
      </c>
    </row>
    <row r="167" spans="1:11" x14ac:dyDescent="0.25">
      <c r="A167" t="s">
        <v>133</v>
      </c>
      <c r="B167" t="s">
        <v>134</v>
      </c>
      <c r="C167" t="s">
        <v>114</v>
      </c>
      <c r="D167">
        <v>1984</v>
      </c>
      <c r="E167" t="s">
        <v>135</v>
      </c>
      <c r="F167">
        <v>752</v>
      </c>
      <c r="G167">
        <v>959.37101063829789</v>
      </c>
      <c r="H167">
        <v>210447</v>
      </c>
      <c r="I167">
        <v>0.41183365949119372</v>
      </c>
      <c r="J167" t="s">
        <v>212</v>
      </c>
      <c r="K167">
        <v>618466</v>
      </c>
    </row>
    <row r="168" spans="1:11" x14ac:dyDescent="0.25">
      <c r="A168" t="s">
        <v>133</v>
      </c>
      <c r="B168" t="s">
        <v>134</v>
      </c>
      <c r="C168" t="s">
        <v>114</v>
      </c>
      <c r="D168">
        <v>1984</v>
      </c>
      <c r="E168" t="s">
        <v>135</v>
      </c>
      <c r="F168">
        <v>752</v>
      </c>
      <c r="G168">
        <v>959.37101063829789</v>
      </c>
      <c r="H168">
        <v>210447</v>
      </c>
      <c r="I168">
        <v>0.41183365949119372</v>
      </c>
      <c r="J168" t="s">
        <v>213</v>
      </c>
      <c r="K168">
        <v>681331</v>
      </c>
    </row>
    <row r="169" spans="1:11" x14ac:dyDescent="0.25">
      <c r="A169" t="s">
        <v>133</v>
      </c>
      <c r="B169" t="s">
        <v>134</v>
      </c>
      <c r="C169" t="s">
        <v>114</v>
      </c>
      <c r="D169">
        <v>1984</v>
      </c>
      <c r="E169" t="s">
        <v>135</v>
      </c>
      <c r="F169">
        <v>752</v>
      </c>
      <c r="G169">
        <v>959.37101063829789</v>
      </c>
      <c r="H169">
        <v>210447</v>
      </c>
      <c r="I169">
        <v>0.41183365949119372</v>
      </c>
      <c r="J169" t="s">
        <v>214</v>
      </c>
      <c r="K169">
        <v>721447</v>
      </c>
    </row>
    <row r="170" spans="1:11" x14ac:dyDescent="0.25">
      <c r="A170" t="s">
        <v>136</v>
      </c>
      <c r="B170" t="s">
        <v>137</v>
      </c>
      <c r="C170" t="s">
        <v>114</v>
      </c>
      <c r="D170">
        <v>1984</v>
      </c>
      <c r="E170" t="s">
        <v>138</v>
      </c>
      <c r="F170">
        <v>968</v>
      </c>
      <c r="G170">
        <v>833.32851239669424</v>
      </c>
      <c r="H170">
        <v>124662</v>
      </c>
      <c r="I170">
        <v>0.18278885630498534</v>
      </c>
      <c r="J170" t="s">
        <v>211</v>
      </c>
      <c r="K170">
        <v>682000</v>
      </c>
    </row>
    <row r="171" spans="1:11" x14ac:dyDescent="0.25">
      <c r="A171" t="s">
        <v>136</v>
      </c>
      <c r="B171" t="s">
        <v>137</v>
      </c>
      <c r="C171" t="s">
        <v>114</v>
      </c>
      <c r="D171">
        <v>1984</v>
      </c>
      <c r="E171" t="s">
        <v>138</v>
      </c>
      <c r="F171">
        <v>968</v>
      </c>
      <c r="G171">
        <v>833.32851239669424</v>
      </c>
      <c r="H171">
        <v>124662</v>
      </c>
      <c r="I171">
        <v>0.18278885630498534</v>
      </c>
      <c r="J171" t="s">
        <v>212</v>
      </c>
      <c r="K171">
        <v>730568</v>
      </c>
    </row>
    <row r="172" spans="1:11" x14ac:dyDescent="0.25">
      <c r="A172" t="s">
        <v>136</v>
      </c>
      <c r="B172" t="s">
        <v>137</v>
      </c>
      <c r="C172" t="s">
        <v>114</v>
      </c>
      <c r="D172">
        <v>1984</v>
      </c>
      <c r="E172" t="s">
        <v>138</v>
      </c>
      <c r="F172">
        <v>968</v>
      </c>
      <c r="G172">
        <v>833.32851239669424</v>
      </c>
      <c r="H172">
        <v>124662</v>
      </c>
      <c r="I172">
        <v>0.18278885630498534</v>
      </c>
      <c r="J172" t="s">
        <v>213</v>
      </c>
      <c r="K172">
        <v>750425</v>
      </c>
    </row>
    <row r="173" spans="1:11" x14ac:dyDescent="0.25">
      <c r="A173" t="s">
        <v>136</v>
      </c>
      <c r="B173" t="s">
        <v>137</v>
      </c>
      <c r="C173" t="s">
        <v>114</v>
      </c>
      <c r="D173">
        <v>1984</v>
      </c>
      <c r="E173" t="s">
        <v>138</v>
      </c>
      <c r="F173">
        <v>968</v>
      </c>
      <c r="G173">
        <v>833.32851239669424</v>
      </c>
      <c r="H173">
        <v>124662</v>
      </c>
      <c r="I173">
        <v>0.18278885630498534</v>
      </c>
      <c r="J173" t="s">
        <v>214</v>
      </c>
      <c r="K173">
        <v>806662</v>
      </c>
    </row>
    <row r="174" spans="1:11" x14ac:dyDescent="0.25">
      <c r="A174" t="s">
        <v>139</v>
      </c>
      <c r="B174" t="s">
        <v>140</v>
      </c>
      <c r="C174" t="s">
        <v>114</v>
      </c>
      <c r="D174">
        <v>1984</v>
      </c>
      <c r="E174" t="s">
        <v>141</v>
      </c>
      <c r="F174">
        <v>3817</v>
      </c>
      <c r="G174">
        <v>588.60125753209331</v>
      </c>
      <c r="H174">
        <v>586691</v>
      </c>
      <c r="I174">
        <v>0.35342831325301205</v>
      </c>
      <c r="J174" t="s">
        <v>211</v>
      </c>
      <c r="K174">
        <v>1660000</v>
      </c>
    </row>
    <row r="175" spans="1:11" x14ac:dyDescent="0.25">
      <c r="A175" t="s">
        <v>139</v>
      </c>
      <c r="B175" t="s">
        <v>140</v>
      </c>
      <c r="C175" t="s">
        <v>114</v>
      </c>
      <c r="D175">
        <v>1984</v>
      </c>
      <c r="E175" t="s">
        <v>141</v>
      </c>
      <c r="F175">
        <v>3817</v>
      </c>
      <c r="G175">
        <v>588.60125753209331</v>
      </c>
      <c r="H175">
        <v>586691</v>
      </c>
      <c r="I175">
        <v>0.35342831325301205</v>
      </c>
      <c r="J175" t="s">
        <v>212</v>
      </c>
      <c r="K175">
        <v>1950557</v>
      </c>
    </row>
    <row r="176" spans="1:11" x14ac:dyDescent="0.25">
      <c r="A176" t="s">
        <v>139</v>
      </c>
      <c r="B176" t="s">
        <v>140</v>
      </c>
      <c r="C176" t="s">
        <v>114</v>
      </c>
      <c r="D176">
        <v>1984</v>
      </c>
      <c r="E176" t="s">
        <v>141</v>
      </c>
      <c r="F176">
        <v>3817</v>
      </c>
      <c r="G176">
        <v>588.60125753209331</v>
      </c>
      <c r="H176">
        <v>586691</v>
      </c>
      <c r="I176">
        <v>0.35342831325301205</v>
      </c>
      <c r="J176" t="s">
        <v>213</v>
      </c>
      <c r="K176">
        <v>2063610</v>
      </c>
    </row>
    <row r="177" spans="1:11" x14ac:dyDescent="0.25">
      <c r="A177" t="s">
        <v>139</v>
      </c>
      <c r="B177" t="s">
        <v>140</v>
      </c>
      <c r="C177" t="s">
        <v>114</v>
      </c>
      <c r="D177">
        <v>1984</v>
      </c>
      <c r="E177" t="s">
        <v>141</v>
      </c>
      <c r="F177">
        <v>3817</v>
      </c>
      <c r="G177">
        <v>588.60125753209331</v>
      </c>
      <c r="H177">
        <v>586691</v>
      </c>
      <c r="I177">
        <v>0.35342831325301205</v>
      </c>
      <c r="J177" t="s">
        <v>214</v>
      </c>
      <c r="K177">
        <v>2246691</v>
      </c>
    </row>
    <row r="178" spans="1:11" x14ac:dyDescent="0.25">
      <c r="A178" t="s">
        <v>142</v>
      </c>
      <c r="B178" t="s">
        <v>143</v>
      </c>
      <c r="C178" t="s">
        <v>144</v>
      </c>
      <c r="D178">
        <v>1821</v>
      </c>
      <c r="E178" t="s">
        <v>145</v>
      </c>
      <c r="F178">
        <v>2899</v>
      </c>
      <c r="G178">
        <v>1316.037254225595</v>
      </c>
      <c r="H178">
        <v>1016192</v>
      </c>
      <c r="I178">
        <v>0.36305537692032869</v>
      </c>
      <c r="J178" t="s">
        <v>211</v>
      </c>
      <c r="K178">
        <v>2799000</v>
      </c>
    </row>
    <row r="179" spans="1:11" x14ac:dyDescent="0.25">
      <c r="A179" t="s">
        <v>142</v>
      </c>
      <c r="B179" t="s">
        <v>143</v>
      </c>
      <c r="C179" t="s">
        <v>144</v>
      </c>
      <c r="D179">
        <v>1821</v>
      </c>
      <c r="E179" t="s">
        <v>145</v>
      </c>
      <c r="F179">
        <v>2899</v>
      </c>
      <c r="G179">
        <v>1316.037254225595</v>
      </c>
      <c r="H179">
        <v>1016192</v>
      </c>
      <c r="I179">
        <v>0.36305537692032869</v>
      </c>
      <c r="J179" t="s">
        <v>212</v>
      </c>
      <c r="K179">
        <v>3151389</v>
      </c>
    </row>
    <row r="180" spans="1:11" x14ac:dyDescent="0.25">
      <c r="A180" t="s">
        <v>142</v>
      </c>
      <c r="B180" t="s">
        <v>143</v>
      </c>
      <c r="C180" t="s">
        <v>144</v>
      </c>
      <c r="D180">
        <v>1821</v>
      </c>
      <c r="E180" t="s">
        <v>145</v>
      </c>
      <c r="F180">
        <v>2899</v>
      </c>
      <c r="G180">
        <v>1316.037254225595</v>
      </c>
      <c r="H180">
        <v>1016192</v>
      </c>
      <c r="I180">
        <v>0.36305537692032869</v>
      </c>
      <c r="J180" t="s">
        <v>213</v>
      </c>
      <c r="K180">
        <v>3539293</v>
      </c>
    </row>
    <row r="181" spans="1:11" x14ac:dyDescent="0.25">
      <c r="A181" t="s">
        <v>142</v>
      </c>
      <c r="B181" t="s">
        <v>143</v>
      </c>
      <c r="C181" t="s">
        <v>144</v>
      </c>
      <c r="D181">
        <v>1821</v>
      </c>
      <c r="E181" t="s">
        <v>145</v>
      </c>
      <c r="F181">
        <v>2899</v>
      </c>
      <c r="G181">
        <v>1316.037254225595</v>
      </c>
      <c r="H181">
        <v>1016192</v>
      </c>
      <c r="I181">
        <v>0.36305537692032869</v>
      </c>
      <c r="J181" t="s">
        <v>214</v>
      </c>
      <c r="K181">
        <v>3815192</v>
      </c>
    </row>
    <row r="182" spans="1:11" x14ac:dyDescent="0.25">
      <c r="A182" t="s">
        <v>146</v>
      </c>
      <c r="B182" t="s">
        <v>147</v>
      </c>
      <c r="C182" t="s">
        <v>144</v>
      </c>
      <c r="D182">
        <v>1984</v>
      </c>
      <c r="E182" t="s">
        <v>148</v>
      </c>
      <c r="F182">
        <v>1703</v>
      </c>
      <c r="G182">
        <v>1101.1685261303583</v>
      </c>
      <c r="H182">
        <v>644290</v>
      </c>
      <c r="I182">
        <v>0.52338748984565397</v>
      </c>
      <c r="J182" t="s">
        <v>211</v>
      </c>
      <c r="K182">
        <v>1231000</v>
      </c>
    </row>
    <row r="183" spans="1:11" x14ac:dyDescent="0.25">
      <c r="A183" t="s">
        <v>146</v>
      </c>
      <c r="B183" t="s">
        <v>147</v>
      </c>
      <c r="C183" t="s">
        <v>144</v>
      </c>
      <c r="D183">
        <v>1984</v>
      </c>
      <c r="E183" t="s">
        <v>148</v>
      </c>
      <c r="F183">
        <v>1703</v>
      </c>
      <c r="G183">
        <v>1101.1685261303583</v>
      </c>
      <c r="H183">
        <v>644290</v>
      </c>
      <c r="I183">
        <v>0.52338748984565397</v>
      </c>
      <c r="J183" t="s">
        <v>212</v>
      </c>
      <c r="K183">
        <v>1492192</v>
      </c>
    </row>
    <row r="184" spans="1:11" x14ac:dyDescent="0.25">
      <c r="A184" t="s">
        <v>146</v>
      </c>
      <c r="B184" t="s">
        <v>147</v>
      </c>
      <c r="C184" t="s">
        <v>144</v>
      </c>
      <c r="D184">
        <v>1984</v>
      </c>
      <c r="E184" t="s">
        <v>148</v>
      </c>
      <c r="F184">
        <v>1703</v>
      </c>
      <c r="G184">
        <v>1101.1685261303583</v>
      </c>
      <c r="H184">
        <v>644290</v>
      </c>
      <c r="I184">
        <v>0.52338748984565397</v>
      </c>
      <c r="J184" t="s">
        <v>213</v>
      </c>
      <c r="K184">
        <v>1714249</v>
      </c>
    </row>
    <row r="185" spans="1:11" x14ac:dyDescent="0.25">
      <c r="A185" t="s">
        <v>146</v>
      </c>
      <c r="B185" t="s">
        <v>147</v>
      </c>
      <c r="C185" t="s">
        <v>144</v>
      </c>
      <c r="D185">
        <v>1984</v>
      </c>
      <c r="E185" t="s">
        <v>148</v>
      </c>
      <c r="F185">
        <v>1703</v>
      </c>
      <c r="G185">
        <v>1101.1685261303583</v>
      </c>
      <c r="H185">
        <v>644290</v>
      </c>
      <c r="I185">
        <v>0.52338748984565397</v>
      </c>
      <c r="J185" t="s">
        <v>214</v>
      </c>
      <c r="K185">
        <v>1875290</v>
      </c>
    </row>
    <row r="186" spans="1:11" x14ac:dyDescent="0.25">
      <c r="A186" t="s">
        <v>149</v>
      </c>
      <c r="B186" t="s">
        <v>150</v>
      </c>
      <c r="C186" t="s">
        <v>144</v>
      </c>
      <c r="D186">
        <v>1983</v>
      </c>
      <c r="E186" t="s">
        <v>151</v>
      </c>
      <c r="F186">
        <v>1012</v>
      </c>
      <c r="G186">
        <v>965.56324110671937</v>
      </c>
      <c r="H186">
        <v>175150</v>
      </c>
      <c r="I186">
        <v>0.21839152119700747</v>
      </c>
      <c r="J186" t="s">
        <v>211</v>
      </c>
      <c r="K186">
        <v>802000</v>
      </c>
    </row>
    <row r="187" spans="1:11" x14ac:dyDescent="0.25">
      <c r="A187" t="s">
        <v>149</v>
      </c>
      <c r="B187" t="s">
        <v>150</v>
      </c>
      <c r="C187" t="s">
        <v>144</v>
      </c>
      <c r="D187">
        <v>1983</v>
      </c>
      <c r="E187" t="s">
        <v>151</v>
      </c>
      <c r="F187">
        <v>1012</v>
      </c>
      <c r="G187">
        <v>965.56324110671937</v>
      </c>
      <c r="H187">
        <v>175150</v>
      </c>
      <c r="I187">
        <v>0.21839152119700747</v>
      </c>
      <c r="J187" t="s">
        <v>212</v>
      </c>
      <c r="K187">
        <v>885909</v>
      </c>
    </row>
    <row r="188" spans="1:11" x14ac:dyDescent="0.25">
      <c r="A188" t="s">
        <v>149</v>
      </c>
      <c r="B188" t="s">
        <v>150</v>
      </c>
      <c r="C188" t="s">
        <v>144</v>
      </c>
      <c r="D188">
        <v>1983</v>
      </c>
      <c r="E188" t="s">
        <v>151</v>
      </c>
      <c r="F188">
        <v>1012</v>
      </c>
      <c r="G188">
        <v>965.56324110671937</v>
      </c>
      <c r="H188">
        <v>175150</v>
      </c>
      <c r="I188">
        <v>0.21839152119700747</v>
      </c>
      <c r="J188" t="s">
        <v>213</v>
      </c>
      <c r="K188">
        <v>950440</v>
      </c>
    </row>
    <row r="189" spans="1:11" x14ac:dyDescent="0.25">
      <c r="A189" t="s">
        <v>149</v>
      </c>
      <c r="B189" t="s">
        <v>150</v>
      </c>
      <c r="C189" t="s">
        <v>144</v>
      </c>
      <c r="D189">
        <v>1983</v>
      </c>
      <c r="E189" t="s">
        <v>151</v>
      </c>
      <c r="F189">
        <v>1012</v>
      </c>
      <c r="G189">
        <v>965.56324110671937</v>
      </c>
      <c r="H189">
        <v>175150</v>
      </c>
      <c r="I189">
        <v>0.21839152119700747</v>
      </c>
      <c r="J189" t="s">
        <v>214</v>
      </c>
      <c r="K189">
        <v>977150</v>
      </c>
    </row>
    <row r="190" spans="1:11" x14ac:dyDescent="0.25">
      <c r="A190" t="s">
        <v>152</v>
      </c>
      <c r="B190" t="s">
        <v>153</v>
      </c>
      <c r="C190" t="s">
        <v>144</v>
      </c>
      <c r="D190">
        <v>1984</v>
      </c>
      <c r="E190" t="s">
        <v>154</v>
      </c>
      <c r="F190">
        <v>3436</v>
      </c>
      <c r="G190">
        <v>827.97467986030267</v>
      </c>
      <c r="H190">
        <v>593921</v>
      </c>
      <c r="I190">
        <v>0.26384762327854289</v>
      </c>
      <c r="J190" t="s">
        <v>211</v>
      </c>
      <c r="K190">
        <v>2251000</v>
      </c>
    </row>
    <row r="191" spans="1:11" x14ac:dyDescent="0.25">
      <c r="A191" t="s">
        <v>152</v>
      </c>
      <c r="B191" t="s">
        <v>153</v>
      </c>
      <c r="C191" t="s">
        <v>144</v>
      </c>
      <c r="D191">
        <v>1984</v>
      </c>
      <c r="E191" t="s">
        <v>154</v>
      </c>
      <c r="F191">
        <v>3436</v>
      </c>
      <c r="G191">
        <v>827.97467986030267</v>
      </c>
      <c r="H191">
        <v>593921</v>
      </c>
      <c r="I191">
        <v>0.26384762327854289</v>
      </c>
      <c r="J191" t="s">
        <v>212</v>
      </c>
      <c r="K191">
        <v>2500932</v>
      </c>
    </row>
    <row r="192" spans="1:11" x14ac:dyDescent="0.25">
      <c r="A192" t="s">
        <v>152</v>
      </c>
      <c r="B192" t="s">
        <v>153</v>
      </c>
      <c r="C192" t="s">
        <v>144</v>
      </c>
      <c r="D192">
        <v>1984</v>
      </c>
      <c r="E192" t="s">
        <v>154</v>
      </c>
      <c r="F192">
        <v>3436</v>
      </c>
      <c r="G192">
        <v>827.97467986030267</v>
      </c>
      <c r="H192">
        <v>593921</v>
      </c>
      <c r="I192">
        <v>0.26384762327854289</v>
      </c>
      <c r="J192" t="s">
        <v>213</v>
      </c>
      <c r="K192">
        <v>2701906</v>
      </c>
    </row>
    <row r="193" spans="1:11" x14ac:dyDescent="0.25">
      <c r="A193" t="s">
        <v>152</v>
      </c>
      <c r="B193" t="s">
        <v>153</v>
      </c>
      <c r="C193" t="s">
        <v>144</v>
      </c>
      <c r="D193">
        <v>1984</v>
      </c>
      <c r="E193" t="s">
        <v>154</v>
      </c>
      <c r="F193">
        <v>3436</v>
      </c>
      <c r="G193">
        <v>827.97467986030267</v>
      </c>
      <c r="H193">
        <v>593921</v>
      </c>
      <c r="I193">
        <v>0.26384762327854289</v>
      </c>
      <c r="J193" t="s">
        <v>214</v>
      </c>
      <c r="K193">
        <v>2844921</v>
      </c>
    </row>
    <row r="194" spans="1:11" x14ac:dyDescent="0.25">
      <c r="A194" t="s">
        <v>155</v>
      </c>
      <c r="B194" t="s">
        <v>156</v>
      </c>
      <c r="C194" t="s">
        <v>144</v>
      </c>
      <c r="D194">
        <v>1984</v>
      </c>
      <c r="E194" t="s">
        <v>157</v>
      </c>
      <c r="F194">
        <v>1900</v>
      </c>
      <c r="G194">
        <v>1000.1121052631579</v>
      </c>
      <c r="H194">
        <v>445213</v>
      </c>
      <c r="I194">
        <v>0.30598831615120275</v>
      </c>
      <c r="J194" t="s">
        <v>211</v>
      </c>
      <c r="K194">
        <v>1455000</v>
      </c>
    </row>
    <row r="195" spans="1:11" x14ac:dyDescent="0.25">
      <c r="A195" t="s">
        <v>155</v>
      </c>
      <c r="B195" t="s">
        <v>156</v>
      </c>
      <c r="C195" t="s">
        <v>144</v>
      </c>
      <c r="D195">
        <v>1984</v>
      </c>
      <c r="E195" t="s">
        <v>157</v>
      </c>
      <c r="F195">
        <v>1900</v>
      </c>
      <c r="G195">
        <v>1000.1121052631579</v>
      </c>
      <c r="H195">
        <v>445213</v>
      </c>
      <c r="I195">
        <v>0.30598831615120275</v>
      </c>
      <c r="J195" t="s">
        <v>212</v>
      </c>
      <c r="K195">
        <v>1591944</v>
      </c>
    </row>
    <row r="196" spans="1:11" x14ac:dyDescent="0.25">
      <c r="A196" t="s">
        <v>155</v>
      </c>
      <c r="B196" t="s">
        <v>156</v>
      </c>
      <c r="C196" t="s">
        <v>144</v>
      </c>
      <c r="D196">
        <v>1984</v>
      </c>
      <c r="E196" t="s">
        <v>157</v>
      </c>
      <c r="F196">
        <v>1900</v>
      </c>
      <c r="G196">
        <v>1000.1121052631579</v>
      </c>
      <c r="H196">
        <v>445213</v>
      </c>
      <c r="I196">
        <v>0.30598831615120275</v>
      </c>
      <c r="J196" t="s">
        <v>213</v>
      </c>
      <c r="K196">
        <v>1774832</v>
      </c>
    </row>
    <row r="197" spans="1:11" x14ac:dyDescent="0.25">
      <c r="A197" t="s">
        <v>155</v>
      </c>
      <c r="B197" t="s">
        <v>156</v>
      </c>
      <c r="C197" t="s">
        <v>144</v>
      </c>
      <c r="D197">
        <v>1984</v>
      </c>
      <c r="E197" t="s">
        <v>157</v>
      </c>
      <c r="F197">
        <v>1900</v>
      </c>
      <c r="G197">
        <v>1000.1121052631579</v>
      </c>
      <c r="H197">
        <v>445213</v>
      </c>
      <c r="I197">
        <v>0.30598831615120275</v>
      </c>
      <c r="J197" t="s">
        <v>214</v>
      </c>
      <c r="K197">
        <v>1900213</v>
      </c>
    </row>
    <row r="198" spans="1:11" x14ac:dyDescent="0.25">
      <c r="A198" t="s">
        <v>158</v>
      </c>
      <c r="B198" t="s">
        <v>159</v>
      </c>
      <c r="C198" t="s">
        <v>144</v>
      </c>
      <c r="D198">
        <v>1832</v>
      </c>
      <c r="E198" t="s">
        <v>160</v>
      </c>
      <c r="F198">
        <v>2376</v>
      </c>
      <c r="G198">
        <v>1251.1170033670035</v>
      </c>
      <c r="H198">
        <v>955654</v>
      </c>
      <c r="I198">
        <v>0.47379970252850767</v>
      </c>
      <c r="J198" t="s">
        <v>211</v>
      </c>
      <c r="K198">
        <v>2017000</v>
      </c>
    </row>
    <row r="199" spans="1:11" x14ac:dyDescent="0.25">
      <c r="A199" t="s">
        <v>158</v>
      </c>
      <c r="B199" t="s">
        <v>159</v>
      </c>
      <c r="C199" t="s">
        <v>144</v>
      </c>
      <c r="D199">
        <v>1832</v>
      </c>
      <c r="E199" t="s">
        <v>160</v>
      </c>
      <c r="F199">
        <v>2376</v>
      </c>
      <c r="G199">
        <v>1251.1170033670035</v>
      </c>
      <c r="H199">
        <v>955654</v>
      </c>
      <c r="I199">
        <v>0.47379970252850767</v>
      </c>
      <c r="J199" t="s">
        <v>212</v>
      </c>
      <c r="K199">
        <v>2278141</v>
      </c>
    </row>
    <row r="200" spans="1:11" x14ac:dyDescent="0.25">
      <c r="A200" t="s">
        <v>158</v>
      </c>
      <c r="B200" t="s">
        <v>159</v>
      </c>
      <c r="C200" t="s">
        <v>144</v>
      </c>
      <c r="D200">
        <v>1832</v>
      </c>
      <c r="E200" t="s">
        <v>160</v>
      </c>
      <c r="F200">
        <v>2376</v>
      </c>
      <c r="G200">
        <v>1251.1170033670035</v>
      </c>
      <c r="H200">
        <v>955654</v>
      </c>
      <c r="I200">
        <v>0.47379970252850767</v>
      </c>
      <c r="J200" t="s">
        <v>213</v>
      </c>
      <c r="K200">
        <v>2624683</v>
      </c>
    </row>
    <row r="201" spans="1:11" x14ac:dyDescent="0.25">
      <c r="A201" t="s">
        <v>158</v>
      </c>
      <c r="B201" t="s">
        <v>159</v>
      </c>
      <c r="C201" t="s">
        <v>144</v>
      </c>
      <c r="D201">
        <v>1832</v>
      </c>
      <c r="E201" t="s">
        <v>160</v>
      </c>
      <c r="F201">
        <v>2376</v>
      </c>
      <c r="G201">
        <v>1251.1170033670035</v>
      </c>
      <c r="H201">
        <v>955654</v>
      </c>
      <c r="I201">
        <v>0.47379970252850767</v>
      </c>
      <c r="J201" t="s">
        <v>214</v>
      </c>
      <c r="K201">
        <v>2972654</v>
      </c>
    </row>
    <row r="202" spans="1:11" x14ac:dyDescent="0.25">
      <c r="A202" t="s">
        <v>144</v>
      </c>
      <c r="B202" t="s">
        <v>161</v>
      </c>
      <c r="C202" t="s">
        <v>144</v>
      </c>
      <c r="D202">
        <v>1772</v>
      </c>
      <c r="E202" t="s">
        <v>162</v>
      </c>
      <c r="F202">
        <v>2425</v>
      </c>
      <c r="G202">
        <v>1228.1055670103092</v>
      </c>
      <c r="H202">
        <v>990156</v>
      </c>
      <c r="I202">
        <v>0.49806639839034206</v>
      </c>
      <c r="J202" t="s">
        <v>211</v>
      </c>
      <c r="K202">
        <v>1988000</v>
      </c>
    </row>
    <row r="203" spans="1:11" x14ac:dyDescent="0.25">
      <c r="A203" t="s">
        <v>144</v>
      </c>
      <c r="B203" t="s">
        <v>161</v>
      </c>
      <c r="C203" t="s">
        <v>144</v>
      </c>
      <c r="D203">
        <v>1772</v>
      </c>
      <c r="E203" t="s">
        <v>162</v>
      </c>
      <c r="F203">
        <v>2425</v>
      </c>
      <c r="G203">
        <v>1228.1055670103092</v>
      </c>
      <c r="H203">
        <v>990156</v>
      </c>
      <c r="I203">
        <v>0.49806639839034206</v>
      </c>
      <c r="J203" t="s">
        <v>212</v>
      </c>
      <c r="K203">
        <v>2410086</v>
      </c>
    </row>
    <row r="204" spans="1:11" x14ac:dyDescent="0.25">
      <c r="A204" t="s">
        <v>144</v>
      </c>
      <c r="B204" t="s">
        <v>161</v>
      </c>
      <c r="C204" t="s">
        <v>144</v>
      </c>
      <c r="D204">
        <v>1772</v>
      </c>
      <c r="E204" t="s">
        <v>162</v>
      </c>
      <c r="F204">
        <v>2425</v>
      </c>
      <c r="G204">
        <v>1228.1055670103092</v>
      </c>
      <c r="H204">
        <v>990156</v>
      </c>
      <c r="I204">
        <v>0.49806639839034206</v>
      </c>
      <c r="J204" t="s">
        <v>213</v>
      </c>
      <c r="K204">
        <v>2699688</v>
      </c>
    </row>
    <row r="205" spans="1:11" x14ac:dyDescent="0.25">
      <c r="A205" t="s">
        <v>144</v>
      </c>
      <c r="B205" t="s">
        <v>161</v>
      </c>
      <c r="C205" t="s">
        <v>144</v>
      </c>
      <c r="D205">
        <v>1772</v>
      </c>
      <c r="E205" t="s">
        <v>162</v>
      </c>
      <c r="F205">
        <v>2425</v>
      </c>
      <c r="G205">
        <v>1228.1055670103092</v>
      </c>
      <c r="H205">
        <v>990156</v>
      </c>
      <c r="I205">
        <v>0.49806639839034206</v>
      </c>
      <c r="J205" t="s">
        <v>214</v>
      </c>
      <c r="K205">
        <v>2978156</v>
      </c>
    </row>
    <row r="206" spans="1:11" x14ac:dyDescent="0.25">
      <c r="A206" t="s">
        <v>163</v>
      </c>
      <c r="B206" t="s">
        <v>164</v>
      </c>
      <c r="C206" t="s">
        <v>144</v>
      </c>
      <c r="D206">
        <v>1984</v>
      </c>
      <c r="E206" t="s">
        <v>165</v>
      </c>
      <c r="F206">
        <v>2402</v>
      </c>
      <c r="G206">
        <v>1428.1611157368859</v>
      </c>
      <c r="H206">
        <v>1056443</v>
      </c>
      <c r="I206">
        <v>0.44500547598989049</v>
      </c>
      <c r="J206" t="s">
        <v>211</v>
      </c>
      <c r="K206">
        <v>2374000</v>
      </c>
    </row>
    <row r="207" spans="1:11" x14ac:dyDescent="0.25">
      <c r="A207" t="s">
        <v>163</v>
      </c>
      <c r="B207" t="s">
        <v>164</v>
      </c>
      <c r="C207" t="s">
        <v>144</v>
      </c>
      <c r="D207">
        <v>1984</v>
      </c>
      <c r="E207" t="s">
        <v>165</v>
      </c>
      <c r="F207">
        <v>2402</v>
      </c>
      <c r="G207">
        <v>1428.1611157368859</v>
      </c>
      <c r="H207">
        <v>1056443</v>
      </c>
      <c r="I207">
        <v>0.44500547598989049</v>
      </c>
      <c r="J207" t="s">
        <v>212</v>
      </c>
      <c r="K207">
        <v>2818739</v>
      </c>
    </row>
    <row r="208" spans="1:11" x14ac:dyDescent="0.25">
      <c r="A208" t="s">
        <v>163</v>
      </c>
      <c r="B208" t="s">
        <v>164</v>
      </c>
      <c r="C208" t="s">
        <v>144</v>
      </c>
      <c r="D208">
        <v>1984</v>
      </c>
      <c r="E208" t="s">
        <v>165</v>
      </c>
      <c r="F208">
        <v>2402</v>
      </c>
      <c r="G208">
        <v>1428.1611157368859</v>
      </c>
      <c r="H208">
        <v>1056443</v>
      </c>
      <c r="I208">
        <v>0.44500547598989049</v>
      </c>
      <c r="J208" t="s">
        <v>213</v>
      </c>
      <c r="K208">
        <v>3220812</v>
      </c>
    </row>
    <row r="209" spans="1:11" x14ac:dyDescent="0.25">
      <c r="A209" t="s">
        <v>163</v>
      </c>
      <c r="B209" t="s">
        <v>164</v>
      </c>
      <c r="C209" t="s">
        <v>144</v>
      </c>
      <c r="D209">
        <v>1984</v>
      </c>
      <c r="E209" t="s">
        <v>165</v>
      </c>
      <c r="F209">
        <v>2402</v>
      </c>
      <c r="G209">
        <v>1428.1611157368859</v>
      </c>
      <c r="H209">
        <v>1056443</v>
      </c>
      <c r="I209">
        <v>0.44500547598989049</v>
      </c>
      <c r="J209" t="s">
        <v>214</v>
      </c>
      <c r="K209">
        <v>3430443</v>
      </c>
    </row>
    <row r="210" spans="1:11" x14ac:dyDescent="0.25">
      <c r="A210" t="s">
        <v>166</v>
      </c>
      <c r="B210" t="s">
        <v>167</v>
      </c>
      <c r="C210" t="s">
        <v>168</v>
      </c>
      <c r="D210">
        <v>1786</v>
      </c>
      <c r="E210" t="s">
        <v>169</v>
      </c>
      <c r="F210">
        <v>3444</v>
      </c>
      <c r="G210">
        <v>984.97415795586528</v>
      </c>
      <c r="H210">
        <v>1021251</v>
      </c>
      <c r="I210">
        <v>0.43072585407001263</v>
      </c>
      <c r="J210" t="s">
        <v>211</v>
      </c>
      <c r="K210">
        <v>2371000</v>
      </c>
    </row>
    <row r="211" spans="1:11" x14ac:dyDescent="0.25">
      <c r="A211" t="s">
        <v>166</v>
      </c>
      <c r="B211" t="s">
        <v>167</v>
      </c>
      <c r="C211" t="s">
        <v>168</v>
      </c>
      <c r="D211">
        <v>1786</v>
      </c>
      <c r="E211" t="s">
        <v>169</v>
      </c>
      <c r="F211">
        <v>3444</v>
      </c>
      <c r="G211">
        <v>984.97415795586528</v>
      </c>
      <c r="H211">
        <v>1021251</v>
      </c>
      <c r="I211">
        <v>0.43072585407001263</v>
      </c>
      <c r="J211" t="s">
        <v>212</v>
      </c>
      <c r="K211">
        <v>2765797</v>
      </c>
    </row>
    <row r="212" spans="1:11" x14ac:dyDescent="0.25">
      <c r="A212" t="s">
        <v>166</v>
      </c>
      <c r="B212" t="s">
        <v>167</v>
      </c>
      <c r="C212" t="s">
        <v>168</v>
      </c>
      <c r="D212">
        <v>1786</v>
      </c>
      <c r="E212" t="s">
        <v>169</v>
      </c>
      <c r="F212">
        <v>3444</v>
      </c>
      <c r="G212">
        <v>984.97415795586528</v>
      </c>
      <c r="H212">
        <v>1021251</v>
      </c>
      <c r="I212">
        <v>0.43072585407001263</v>
      </c>
      <c r="J212" t="s">
        <v>213</v>
      </c>
      <c r="K212">
        <v>3109626</v>
      </c>
    </row>
    <row r="213" spans="1:11" x14ac:dyDescent="0.25">
      <c r="A213" t="s">
        <v>166</v>
      </c>
      <c r="B213" t="s">
        <v>167</v>
      </c>
      <c r="C213" t="s">
        <v>168</v>
      </c>
      <c r="D213">
        <v>1786</v>
      </c>
      <c r="E213" t="s">
        <v>169</v>
      </c>
      <c r="F213">
        <v>3444</v>
      </c>
      <c r="G213">
        <v>984.97415795586528</v>
      </c>
      <c r="H213">
        <v>1021251</v>
      </c>
      <c r="I213">
        <v>0.43072585407001263</v>
      </c>
      <c r="J213" t="s">
        <v>214</v>
      </c>
      <c r="K213">
        <v>3392251</v>
      </c>
    </row>
    <row r="214" spans="1:11" x14ac:dyDescent="0.25">
      <c r="A214" t="s">
        <v>170</v>
      </c>
      <c r="B214" t="s">
        <v>171</v>
      </c>
      <c r="C214" t="s">
        <v>168</v>
      </c>
      <c r="D214">
        <v>1984</v>
      </c>
      <c r="E214" t="s">
        <v>172</v>
      </c>
      <c r="F214">
        <v>2115</v>
      </c>
      <c r="G214">
        <v>1239.6009456264776</v>
      </c>
      <c r="H214">
        <v>580756</v>
      </c>
      <c r="I214">
        <v>0.28454483096521316</v>
      </c>
      <c r="J214" t="s">
        <v>211</v>
      </c>
      <c r="K214">
        <v>2041000</v>
      </c>
    </row>
    <row r="215" spans="1:11" x14ac:dyDescent="0.25">
      <c r="A215" t="s">
        <v>170</v>
      </c>
      <c r="B215" t="s">
        <v>171</v>
      </c>
      <c r="C215" t="s">
        <v>168</v>
      </c>
      <c r="D215">
        <v>1984</v>
      </c>
      <c r="E215" t="s">
        <v>172</v>
      </c>
      <c r="F215">
        <v>2115</v>
      </c>
      <c r="G215">
        <v>1239.6009456264776</v>
      </c>
      <c r="H215">
        <v>580756</v>
      </c>
      <c r="I215">
        <v>0.28454483096521316</v>
      </c>
      <c r="J215" t="s">
        <v>212</v>
      </c>
      <c r="K215">
        <v>2235559</v>
      </c>
    </row>
    <row r="216" spans="1:11" x14ac:dyDescent="0.25">
      <c r="A216" t="s">
        <v>170</v>
      </c>
      <c r="B216" t="s">
        <v>171</v>
      </c>
      <c r="C216" t="s">
        <v>168</v>
      </c>
      <c r="D216">
        <v>1984</v>
      </c>
      <c r="E216" t="s">
        <v>172</v>
      </c>
      <c r="F216">
        <v>2115</v>
      </c>
      <c r="G216">
        <v>1239.6009456264776</v>
      </c>
      <c r="H216">
        <v>580756</v>
      </c>
      <c r="I216">
        <v>0.28454483096521316</v>
      </c>
      <c r="J216" t="s">
        <v>213</v>
      </c>
      <c r="K216">
        <v>2471680</v>
      </c>
    </row>
    <row r="217" spans="1:11" x14ac:dyDescent="0.25">
      <c r="A217" t="s">
        <v>170</v>
      </c>
      <c r="B217" t="s">
        <v>171</v>
      </c>
      <c r="C217" t="s">
        <v>168</v>
      </c>
      <c r="D217">
        <v>1984</v>
      </c>
      <c r="E217" t="s">
        <v>172</v>
      </c>
      <c r="F217">
        <v>2115</v>
      </c>
      <c r="G217">
        <v>1239.6009456264776</v>
      </c>
      <c r="H217">
        <v>580756</v>
      </c>
      <c r="I217">
        <v>0.28454483096521316</v>
      </c>
      <c r="J217" t="s">
        <v>214</v>
      </c>
      <c r="K217">
        <v>2621756</v>
      </c>
    </row>
    <row r="218" spans="1:11" x14ac:dyDescent="0.25">
      <c r="A218" t="s">
        <v>173</v>
      </c>
      <c r="B218" t="s">
        <v>174</v>
      </c>
      <c r="C218" t="s">
        <v>168</v>
      </c>
      <c r="D218">
        <v>1984</v>
      </c>
      <c r="E218" t="s">
        <v>175</v>
      </c>
      <c r="F218">
        <v>2245</v>
      </c>
      <c r="G218">
        <v>1061.5893095768374</v>
      </c>
      <c r="H218">
        <v>703268</v>
      </c>
      <c r="I218">
        <v>0.41861190476190474</v>
      </c>
      <c r="J218" t="s">
        <v>211</v>
      </c>
      <c r="K218">
        <v>1680000</v>
      </c>
    </row>
    <row r="219" spans="1:11" x14ac:dyDescent="0.25">
      <c r="A219" t="s">
        <v>173</v>
      </c>
      <c r="B219" t="s">
        <v>174</v>
      </c>
      <c r="C219" t="s">
        <v>168</v>
      </c>
      <c r="D219">
        <v>1984</v>
      </c>
      <c r="E219" t="s">
        <v>175</v>
      </c>
      <c r="F219">
        <v>2245</v>
      </c>
      <c r="G219">
        <v>1061.5893095768374</v>
      </c>
      <c r="H219">
        <v>703268</v>
      </c>
      <c r="I219">
        <v>0.41861190476190474</v>
      </c>
      <c r="J219" t="s">
        <v>212</v>
      </c>
      <c r="K219">
        <v>1873185</v>
      </c>
    </row>
    <row r="220" spans="1:11" x14ac:dyDescent="0.25">
      <c r="A220" t="s">
        <v>173</v>
      </c>
      <c r="B220" t="s">
        <v>174</v>
      </c>
      <c r="C220" t="s">
        <v>168</v>
      </c>
      <c r="D220">
        <v>1984</v>
      </c>
      <c r="E220" t="s">
        <v>175</v>
      </c>
      <c r="F220">
        <v>2245</v>
      </c>
      <c r="G220">
        <v>1061.5893095768374</v>
      </c>
      <c r="H220">
        <v>703268</v>
      </c>
      <c r="I220">
        <v>0.41861190476190474</v>
      </c>
      <c r="J220" t="s">
        <v>213</v>
      </c>
      <c r="K220">
        <v>2150974</v>
      </c>
    </row>
    <row r="221" spans="1:11" x14ac:dyDescent="0.25">
      <c r="A221" t="s">
        <v>173</v>
      </c>
      <c r="B221" t="s">
        <v>174</v>
      </c>
      <c r="C221" t="s">
        <v>168</v>
      </c>
      <c r="D221">
        <v>1984</v>
      </c>
      <c r="E221" t="s">
        <v>175</v>
      </c>
      <c r="F221">
        <v>2245</v>
      </c>
      <c r="G221">
        <v>1061.5893095768374</v>
      </c>
      <c r="H221">
        <v>703268</v>
      </c>
      <c r="I221">
        <v>0.41861190476190474</v>
      </c>
      <c r="J221" t="s">
        <v>214</v>
      </c>
      <c r="K221">
        <v>2383268</v>
      </c>
    </row>
    <row r="222" spans="1:11" x14ac:dyDescent="0.25">
      <c r="A222" t="s">
        <v>176</v>
      </c>
      <c r="B222" t="s">
        <v>177</v>
      </c>
      <c r="C222" t="s">
        <v>168</v>
      </c>
      <c r="D222">
        <v>1984</v>
      </c>
      <c r="E222" t="s">
        <v>178</v>
      </c>
      <c r="F222">
        <v>1247</v>
      </c>
      <c r="G222">
        <v>1172.0842020850041</v>
      </c>
      <c r="H222">
        <v>462589</v>
      </c>
      <c r="I222">
        <v>0.46305205205205208</v>
      </c>
      <c r="J222" t="s">
        <v>211</v>
      </c>
      <c r="K222">
        <v>999000</v>
      </c>
    </row>
    <row r="223" spans="1:11" x14ac:dyDescent="0.25">
      <c r="A223" t="s">
        <v>176</v>
      </c>
      <c r="B223" t="s">
        <v>177</v>
      </c>
      <c r="C223" t="s">
        <v>168</v>
      </c>
      <c r="D223">
        <v>1984</v>
      </c>
      <c r="E223" t="s">
        <v>178</v>
      </c>
      <c r="F223">
        <v>1247</v>
      </c>
      <c r="G223">
        <v>1172.0842020850041</v>
      </c>
      <c r="H223">
        <v>462589</v>
      </c>
      <c r="I223">
        <v>0.46305205205205208</v>
      </c>
      <c r="J223" t="s">
        <v>212</v>
      </c>
      <c r="K223">
        <v>1160226</v>
      </c>
    </row>
    <row r="224" spans="1:11" x14ac:dyDescent="0.25">
      <c r="A224" t="s">
        <v>176</v>
      </c>
      <c r="B224" t="s">
        <v>177</v>
      </c>
      <c r="C224" t="s">
        <v>168</v>
      </c>
      <c r="D224">
        <v>1984</v>
      </c>
      <c r="E224" t="s">
        <v>178</v>
      </c>
      <c r="F224">
        <v>1247</v>
      </c>
      <c r="G224">
        <v>1172.0842020850041</v>
      </c>
      <c r="H224">
        <v>462589</v>
      </c>
      <c r="I224">
        <v>0.46305205205205208</v>
      </c>
      <c r="J224" t="s">
        <v>213</v>
      </c>
      <c r="K224">
        <v>1305248</v>
      </c>
    </row>
    <row r="225" spans="1:11" x14ac:dyDescent="0.25">
      <c r="A225" t="s">
        <v>176</v>
      </c>
      <c r="B225" t="s">
        <v>177</v>
      </c>
      <c r="C225" t="s">
        <v>168</v>
      </c>
      <c r="D225">
        <v>1984</v>
      </c>
      <c r="E225" t="s">
        <v>178</v>
      </c>
      <c r="F225">
        <v>1247</v>
      </c>
      <c r="G225">
        <v>1172.0842020850041</v>
      </c>
      <c r="H225">
        <v>462589</v>
      </c>
      <c r="I225">
        <v>0.46305205205205208</v>
      </c>
      <c r="J225" t="s">
        <v>214</v>
      </c>
      <c r="K225">
        <v>1461589</v>
      </c>
    </row>
    <row r="226" spans="1:11" x14ac:dyDescent="0.25">
      <c r="A226" t="s">
        <v>179</v>
      </c>
      <c r="B226" t="s">
        <v>180</v>
      </c>
      <c r="C226" t="s">
        <v>168</v>
      </c>
      <c r="D226">
        <v>1984</v>
      </c>
      <c r="E226" t="s">
        <v>181</v>
      </c>
      <c r="F226">
        <v>1547</v>
      </c>
      <c r="G226">
        <v>1384.0853264382677</v>
      </c>
      <c r="H226">
        <v>725180</v>
      </c>
      <c r="I226">
        <v>0.51213276836158195</v>
      </c>
      <c r="J226" t="s">
        <v>211</v>
      </c>
      <c r="K226">
        <v>1416000</v>
      </c>
    </row>
    <row r="227" spans="1:11" x14ac:dyDescent="0.25">
      <c r="A227" t="s">
        <v>179</v>
      </c>
      <c r="B227" t="s">
        <v>180</v>
      </c>
      <c r="C227" t="s">
        <v>168</v>
      </c>
      <c r="D227">
        <v>1984</v>
      </c>
      <c r="E227" t="s">
        <v>181</v>
      </c>
      <c r="F227">
        <v>1547</v>
      </c>
      <c r="G227">
        <v>1384.0853264382677</v>
      </c>
      <c r="H227">
        <v>725180</v>
      </c>
      <c r="I227">
        <v>0.51213276836158195</v>
      </c>
      <c r="J227" t="s">
        <v>212</v>
      </c>
      <c r="K227">
        <v>1644500</v>
      </c>
    </row>
    <row r="228" spans="1:11" x14ac:dyDescent="0.25">
      <c r="A228" t="s">
        <v>179</v>
      </c>
      <c r="B228" t="s">
        <v>180</v>
      </c>
      <c r="C228" t="s">
        <v>168</v>
      </c>
      <c r="D228">
        <v>1984</v>
      </c>
      <c r="E228" t="s">
        <v>181</v>
      </c>
      <c r="F228">
        <v>1547</v>
      </c>
      <c r="G228">
        <v>1384.0853264382677</v>
      </c>
      <c r="H228">
        <v>725180</v>
      </c>
      <c r="I228">
        <v>0.51213276836158195</v>
      </c>
      <c r="J228" t="s">
        <v>213</v>
      </c>
      <c r="K228">
        <v>1907497</v>
      </c>
    </row>
    <row r="229" spans="1:11" x14ac:dyDescent="0.25">
      <c r="A229" t="s">
        <v>179</v>
      </c>
      <c r="B229" t="s">
        <v>180</v>
      </c>
      <c r="C229" t="s">
        <v>168</v>
      </c>
      <c r="D229">
        <v>1984</v>
      </c>
      <c r="E229" t="s">
        <v>181</v>
      </c>
      <c r="F229">
        <v>1547</v>
      </c>
      <c r="G229">
        <v>1384.0853264382677</v>
      </c>
      <c r="H229">
        <v>725180</v>
      </c>
      <c r="I229">
        <v>0.51213276836158195</v>
      </c>
      <c r="J229" t="s">
        <v>214</v>
      </c>
      <c r="K229">
        <v>2141180</v>
      </c>
    </row>
    <row r="230" spans="1:11" x14ac:dyDescent="0.25">
      <c r="A230" t="s">
        <v>182</v>
      </c>
      <c r="B230" t="s">
        <v>183</v>
      </c>
      <c r="C230" t="s">
        <v>168</v>
      </c>
      <c r="D230">
        <v>1984</v>
      </c>
      <c r="E230" t="s">
        <v>184</v>
      </c>
      <c r="F230">
        <v>1405</v>
      </c>
      <c r="G230">
        <v>859.25409252669044</v>
      </c>
      <c r="H230">
        <v>461252</v>
      </c>
      <c r="I230">
        <v>0.61830026809651473</v>
      </c>
      <c r="J230" t="s">
        <v>211</v>
      </c>
      <c r="K230">
        <v>746000</v>
      </c>
    </row>
    <row r="231" spans="1:11" x14ac:dyDescent="0.25">
      <c r="A231" t="s">
        <v>182</v>
      </c>
      <c r="B231" t="s">
        <v>183</v>
      </c>
      <c r="C231" t="s">
        <v>168</v>
      </c>
      <c r="D231">
        <v>1984</v>
      </c>
      <c r="E231" t="s">
        <v>184</v>
      </c>
      <c r="F231">
        <v>1405</v>
      </c>
      <c r="G231">
        <v>859.25409252669044</v>
      </c>
      <c r="H231">
        <v>461252</v>
      </c>
      <c r="I231">
        <v>0.61830026809651473</v>
      </c>
      <c r="J231" t="s">
        <v>212</v>
      </c>
      <c r="K231">
        <v>874428</v>
      </c>
    </row>
    <row r="232" spans="1:11" x14ac:dyDescent="0.25">
      <c r="A232" t="s">
        <v>182</v>
      </c>
      <c r="B232" t="s">
        <v>183</v>
      </c>
      <c r="C232" t="s">
        <v>168</v>
      </c>
      <c r="D232">
        <v>1984</v>
      </c>
      <c r="E232" t="s">
        <v>184</v>
      </c>
      <c r="F232">
        <v>1405</v>
      </c>
      <c r="G232">
        <v>859.25409252669044</v>
      </c>
      <c r="H232">
        <v>461252</v>
      </c>
      <c r="I232">
        <v>0.61830026809651473</v>
      </c>
      <c r="J232" t="s">
        <v>213</v>
      </c>
      <c r="K232">
        <v>1026139</v>
      </c>
    </row>
    <row r="233" spans="1:11" x14ac:dyDescent="0.25">
      <c r="A233" t="s">
        <v>182</v>
      </c>
      <c r="B233" t="s">
        <v>183</v>
      </c>
      <c r="C233" t="s">
        <v>168</v>
      </c>
      <c r="D233">
        <v>1984</v>
      </c>
      <c r="E233" t="s">
        <v>184</v>
      </c>
      <c r="F233">
        <v>1405</v>
      </c>
      <c r="G233">
        <v>859.25409252669044</v>
      </c>
      <c r="H233">
        <v>461252</v>
      </c>
      <c r="I233">
        <v>0.61830026809651473</v>
      </c>
      <c r="J233" t="s">
        <v>214</v>
      </c>
      <c r="K233">
        <v>1207252</v>
      </c>
    </row>
    <row r="234" spans="1:11" x14ac:dyDescent="0.25">
      <c r="A234" t="s">
        <v>168</v>
      </c>
      <c r="B234" t="s">
        <v>185</v>
      </c>
      <c r="C234" t="s">
        <v>168</v>
      </c>
      <c r="D234">
        <v>1772</v>
      </c>
      <c r="E234" t="s">
        <v>186</v>
      </c>
      <c r="F234">
        <v>2401</v>
      </c>
      <c r="G234">
        <v>1350.7900874635568</v>
      </c>
      <c r="H234">
        <v>972247</v>
      </c>
      <c r="I234">
        <v>0.42811404667547337</v>
      </c>
      <c r="J234" t="s">
        <v>211</v>
      </c>
      <c r="K234">
        <v>2271000</v>
      </c>
    </row>
    <row r="235" spans="1:11" x14ac:dyDescent="0.25">
      <c r="A235" t="s">
        <v>168</v>
      </c>
      <c r="B235" t="s">
        <v>185</v>
      </c>
      <c r="C235" t="s">
        <v>168</v>
      </c>
      <c r="D235">
        <v>1772</v>
      </c>
      <c r="E235" t="s">
        <v>186</v>
      </c>
      <c r="F235">
        <v>2401</v>
      </c>
      <c r="G235">
        <v>1350.7900874635568</v>
      </c>
      <c r="H235">
        <v>972247</v>
      </c>
      <c r="I235">
        <v>0.42811404667547337</v>
      </c>
      <c r="J235" t="s">
        <v>212</v>
      </c>
      <c r="K235">
        <v>2660727</v>
      </c>
    </row>
    <row r="236" spans="1:11" x14ac:dyDescent="0.25">
      <c r="A236" t="s">
        <v>168</v>
      </c>
      <c r="B236" t="s">
        <v>185</v>
      </c>
      <c r="C236" t="s">
        <v>168</v>
      </c>
      <c r="D236">
        <v>1772</v>
      </c>
      <c r="E236" t="s">
        <v>186</v>
      </c>
      <c r="F236">
        <v>2401</v>
      </c>
      <c r="G236">
        <v>1350.7900874635568</v>
      </c>
      <c r="H236">
        <v>972247</v>
      </c>
      <c r="I236">
        <v>0.42811404667547337</v>
      </c>
      <c r="J236" t="s">
        <v>213</v>
      </c>
      <c r="K236">
        <v>2996334</v>
      </c>
    </row>
    <row r="237" spans="1:11" x14ac:dyDescent="0.25">
      <c r="A237" t="s">
        <v>168</v>
      </c>
      <c r="B237" t="s">
        <v>185</v>
      </c>
      <c r="C237" t="s">
        <v>168</v>
      </c>
      <c r="D237">
        <v>1772</v>
      </c>
      <c r="E237" t="s">
        <v>186</v>
      </c>
      <c r="F237">
        <v>2401</v>
      </c>
      <c r="G237">
        <v>1350.7900874635568</v>
      </c>
      <c r="H237">
        <v>972247</v>
      </c>
      <c r="I237">
        <v>0.42811404667547337</v>
      </c>
      <c r="J237" t="s">
        <v>214</v>
      </c>
      <c r="K237">
        <v>3243247</v>
      </c>
    </row>
    <row r="238" spans="1:11" x14ac:dyDescent="0.25">
      <c r="A238" t="s">
        <v>187</v>
      </c>
      <c r="B238" t="s">
        <v>188</v>
      </c>
      <c r="C238" t="s">
        <v>168</v>
      </c>
      <c r="D238">
        <v>1984</v>
      </c>
      <c r="E238" t="s">
        <v>189</v>
      </c>
      <c r="F238">
        <v>1782</v>
      </c>
      <c r="G238">
        <v>880.76823793490462</v>
      </c>
      <c r="H238">
        <v>510529</v>
      </c>
      <c r="I238">
        <v>0.4820859301227573</v>
      </c>
      <c r="J238" t="s">
        <v>211</v>
      </c>
      <c r="K238">
        <v>1059000</v>
      </c>
    </row>
    <row r="239" spans="1:11" x14ac:dyDescent="0.25">
      <c r="A239" t="s">
        <v>187</v>
      </c>
      <c r="B239" t="s">
        <v>188</v>
      </c>
      <c r="C239" t="s">
        <v>168</v>
      </c>
      <c r="D239">
        <v>1984</v>
      </c>
      <c r="E239" t="s">
        <v>189</v>
      </c>
      <c r="F239">
        <v>1782</v>
      </c>
      <c r="G239">
        <v>880.76823793490462</v>
      </c>
      <c r="H239">
        <v>510529</v>
      </c>
      <c r="I239">
        <v>0.4820859301227573</v>
      </c>
      <c r="J239" t="s">
        <v>212</v>
      </c>
      <c r="K239">
        <v>1270081</v>
      </c>
    </row>
    <row r="240" spans="1:11" x14ac:dyDescent="0.25">
      <c r="A240" t="s">
        <v>187</v>
      </c>
      <c r="B240" t="s">
        <v>188</v>
      </c>
      <c r="C240" t="s">
        <v>168</v>
      </c>
      <c r="D240">
        <v>1984</v>
      </c>
      <c r="E240" t="s">
        <v>189</v>
      </c>
      <c r="F240">
        <v>1782</v>
      </c>
      <c r="G240">
        <v>880.76823793490462</v>
      </c>
      <c r="H240">
        <v>510529</v>
      </c>
      <c r="I240">
        <v>0.4820859301227573</v>
      </c>
      <c r="J240" t="s">
        <v>213</v>
      </c>
      <c r="K240">
        <v>1444783</v>
      </c>
    </row>
    <row r="241" spans="1:11" x14ac:dyDescent="0.25">
      <c r="A241" t="s">
        <v>187</v>
      </c>
      <c r="B241" t="s">
        <v>188</v>
      </c>
      <c r="C241" t="s">
        <v>168</v>
      </c>
      <c r="D241">
        <v>1984</v>
      </c>
      <c r="E241" t="s">
        <v>189</v>
      </c>
      <c r="F241">
        <v>1782</v>
      </c>
      <c r="G241">
        <v>880.76823793490462</v>
      </c>
      <c r="H241">
        <v>510529</v>
      </c>
      <c r="I241">
        <v>0.4820859301227573</v>
      </c>
      <c r="J241" t="s">
        <v>214</v>
      </c>
      <c r="K241">
        <v>1569529</v>
      </c>
    </row>
    <row r="242" spans="1:11" x14ac:dyDescent="0.25">
      <c r="A242" t="s">
        <v>190</v>
      </c>
      <c r="B242" t="s">
        <v>191</v>
      </c>
      <c r="C242" t="s">
        <v>192</v>
      </c>
      <c r="D242">
        <v>1984</v>
      </c>
      <c r="E242" t="s">
        <v>193</v>
      </c>
      <c r="F242">
        <v>2637</v>
      </c>
      <c r="G242">
        <v>925.35115661736825</v>
      </c>
      <c r="H242">
        <v>828151</v>
      </c>
      <c r="I242">
        <v>0.51374131513647647</v>
      </c>
      <c r="J242" t="s">
        <v>211</v>
      </c>
      <c r="K242">
        <v>1612000</v>
      </c>
    </row>
    <row r="243" spans="1:11" x14ac:dyDescent="0.25">
      <c r="A243" t="s">
        <v>190</v>
      </c>
      <c r="B243" t="s">
        <v>191</v>
      </c>
      <c r="C243" t="s">
        <v>192</v>
      </c>
      <c r="D243">
        <v>1984</v>
      </c>
      <c r="E243" t="s">
        <v>193</v>
      </c>
      <c r="F243">
        <v>2637</v>
      </c>
      <c r="G243">
        <v>925.35115661736825</v>
      </c>
      <c r="H243">
        <v>828151</v>
      </c>
      <c r="I243">
        <v>0.51374131513647647</v>
      </c>
      <c r="J243" t="s">
        <v>212</v>
      </c>
      <c r="K243">
        <v>1838683</v>
      </c>
    </row>
    <row r="244" spans="1:11" x14ac:dyDescent="0.25">
      <c r="A244" t="s">
        <v>190</v>
      </c>
      <c r="B244" t="s">
        <v>191</v>
      </c>
      <c r="C244" t="s">
        <v>192</v>
      </c>
      <c r="D244">
        <v>1984</v>
      </c>
      <c r="E244" t="s">
        <v>193</v>
      </c>
      <c r="F244">
        <v>2637</v>
      </c>
      <c r="G244">
        <v>925.35115661736825</v>
      </c>
      <c r="H244">
        <v>828151</v>
      </c>
      <c r="I244">
        <v>0.51374131513647647</v>
      </c>
      <c r="J244" t="s">
        <v>213</v>
      </c>
      <c r="K244">
        <v>2171065</v>
      </c>
    </row>
    <row r="245" spans="1:11" x14ac:dyDescent="0.25">
      <c r="A245" t="s">
        <v>190</v>
      </c>
      <c r="B245" t="s">
        <v>191</v>
      </c>
      <c r="C245" t="s">
        <v>192</v>
      </c>
      <c r="D245">
        <v>1984</v>
      </c>
      <c r="E245" t="s">
        <v>193</v>
      </c>
      <c r="F245">
        <v>2637</v>
      </c>
      <c r="G245">
        <v>925.35115661736825</v>
      </c>
      <c r="H245">
        <v>828151</v>
      </c>
      <c r="I245">
        <v>0.51374131513647647</v>
      </c>
      <c r="J245" t="s">
        <v>214</v>
      </c>
      <c r="K245">
        <v>2440151</v>
      </c>
    </row>
    <row r="246" spans="1:11" x14ac:dyDescent="0.25">
      <c r="A246" t="s">
        <v>194</v>
      </c>
      <c r="B246" t="s">
        <v>195</v>
      </c>
      <c r="C246" t="s">
        <v>192</v>
      </c>
      <c r="D246">
        <v>1984</v>
      </c>
      <c r="E246" t="s">
        <v>196</v>
      </c>
      <c r="F246">
        <v>2799</v>
      </c>
      <c r="G246">
        <v>784.7806359414077</v>
      </c>
      <c r="H246">
        <v>742601</v>
      </c>
      <c r="I246">
        <v>0.51072971114167809</v>
      </c>
      <c r="J246" t="s">
        <v>211</v>
      </c>
      <c r="K246">
        <v>1454000</v>
      </c>
    </row>
    <row r="247" spans="1:11" x14ac:dyDescent="0.25">
      <c r="A247" t="s">
        <v>194</v>
      </c>
      <c r="B247" t="s">
        <v>195</v>
      </c>
      <c r="C247" t="s">
        <v>192</v>
      </c>
      <c r="D247">
        <v>1984</v>
      </c>
      <c r="E247" t="s">
        <v>196</v>
      </c>
      <c r="F247">
        <v>2799</v>
      </c>
      <c r="G247">
        <v>784.7806359414077</v>
      </c>
      <c r="H247">
        <v>742601</v>
      </c>
      <c r="I247">
        <v>0.51072971114167809</v>
      </c>
      <c r="J247" t="s">
        <v>212</v>
      </c>
      <c r="K247">
        <v>1686631</v>
      </c>
    </row>
    <row r="248" spans="1:11" x14ac:dyDescent="0.25">
      <c r="A248" t="s">
        <v>194</v>
      </c>
      <c r="B248" t="s">
        <v>195</v>
      </c>
      <c r="C248" t="s">
        <v>192</v>
      </c>
      <c r="D248">
        <v>1984</v>
      </c>
      <c r="E248" t="s">
        <v>196</v>
      </c>
      <c r="F248">
        <v>2799</v>
      </c>
      <c r="G248">
        <v>784.7806359414077</v>
      </c>
      <c r="H248">
        <v>742601</v>
      </c>
      <c r="I248">
        <v>0.51072971114167809</v>
      </c>
      <c r="J248" t="s">
        <v>213</v>
      </c>
      <c r="K248">
        <v>1994252</v>
      </c>
    </row>
    <row r="249" spans="1:11" x14ac:dyDescent="0.25">
      <c r="A249" t="s">
        <v>194</v>
      </c>
      <c r="B249" t="s">
        <v>195</v>
      </c>
      <c r="C249" t="s">
        <v>192</v>
      </c>
      <c r="D249">
        <v>1984</v>
      </c>
      <c r="E249" t="s">
        <v>196</v>
      </c>
      <c r="F249">
        <v>2799</v>
      </c>
      <c r="G249">
        <v>784.7806359414077</v>
      </c>
      <c r="H249">
        <v>742601</v>
      </c>
      <c r="I249">
        <v>0.51072971114167809</v>
      </c>
      <c r="J249" t="s">
        <v>214</v>
      </c>
      <c r="K249">
        <v>2196601</v>
      </c>
    </row>
    <row r="250" spans="1:11" x14ac:dyDescent="0.25">
      <c r="A250" t="s">
        <v>197</v>
      </c>
      <c r="B250" t="s">
        <v>198</v>
      </c>
      <c r="C250" t="s">
        <v>192</v>
      </c>
      <c r="D250">
        <v>1984</v>
      </c>
      <c r="E250" t="s">
        <v>199</v>
      </c>
      <c r="F250">
        <v>3747</v>
      </c>
      <c r="G250">
        <v>744.15745930077401</v>
      </c>
      <c r="H250">
        <v>986358</v>
      </c>
      <c r="I250">
        <v>0.54736847946725864</v>
      </c>
      <c r="J250" t="s">
        <v>211</v>
      </c>
      <c r="K250">
        <v>1802000</v>
      </c>
    </row>
    <row r="251" spans="1:11" x14ac:dyDescent="0.25">
      <c r="A251" t="s">
        <v>197</v>
      </c>
      <c r="B251" t="s">
        <v>198</v>
      </c>
      <c r="C251" t="s">
        <v>192</v>
      </c>
      <c r="D251">
        <v>1984</v>
      </c>
      <c r="E251" t="s">
        <v>199</v>
      </c>
      <c r="F251">
        <v>3747</v>
      </c>
      <c r="G251">
        <v>744.15745930077401</v>
      </c>
      <c r="H251">
        <v>986358</v>
      </c>
      <c r="I251">
        <v>0.54736847946725864</v>
      </c>
      <c r="J251" t="s">
        <v>212</v>
      </c>
      <c r="K251">
        <v>2107281</v>
      </c>
    </row>
    <row r="252" spans="1:11" x14ac:dyDescent="0.25">
      <c r="A252" t="s">
        <v>197</v>
      </c>
      <c r="B252" t="s">
        <v>198</v>
      </c>
      <c r="C252" t="s">
        <v>192</v>
      </c>
      <c r="D252">
        <v>1984</v>
      </c>
      <c r="E252" t="s">
        <v>199</v>
      </c>
      <c r="F252">
        <v>3747</v>
      </c>
      <c r="G252">
        <v>744.15745930077401</v>
      </c>
      <c r="H252">
        <v>986358</v>
      </c>
      <c r="I252">
        <v>0.54736847946725864</v>
      </c>
      <c r="J252" t="s">
        <v>213</v>
      </c>
      <c r="K252">
        <v>2564540</v>
      </c>
    </row>
    <row r="253" spans="1:11" x14ac:dyDescent="0.25">
      <c r="A253" t="s">
        <v>197</v>
      </c>
      <c r="B253" t="s">
        <v>198</v>
      </c>
      <c r="C253" t="s">
        <v>192</v>
      </c>
      <c r="D253">
        <v>1984</v>
      </c>
      <c r="E253" t="s">
        <v>199</v>
      </c>
      <c r="F253">
        <v>3747</v>
      </c>
      <c r="G253">
        <v>744.15745930077401</v>
      </c>
      <c r="H253">
        <v>986358</v>
      </c>
      <c r="I253">
        <v>0.54736847946725864</v>
      </c>
      <c r="J253" t="s">
        <v>214</v>
      </c>
      <c r="K253">
        <v>2788358</v>
      </c>
    </row>
    <row r="254" spans="1:11" x14ac:dyDescent="0.25">
      <c r="A254" t="s">
        <v>192</v>
      </c>
      <c r="B254" t="s">
        <v>200</v>
      </c>
      <c r="C254" t="s">
        <v>192</v>
      </c>
      <c r="D254">
        <v>1782</v>
      </c>
      <c r="E254" t="s">
        <v>201</v>
      </c>
      <c r="F254">
        <v>3452</v>
      </c>
      <c r="G254">
        <v>1155.8525492468134</v>
      </c>
      <c r="H254">
        <v>1708003</v>
      </c>
      <c r="I254">
        <v>0.74846757230499561</v>
      </c>
      <c r="J254" t="s">
        <v>211</v>
      </c>
      <c r="K254">
        <v>2282000</v>
      </c>
    </row>
    <row r="255" spans="1:11" x14ac:dyDescent="0.25">
      <c r="A255" t="s">
        <v>192</v>
      </c>
      <c r="B255" t="s">
        <v>200</v>
      </c>
      <c r="C255" t="s">
        <v>192</v>
      </c>
      <c r="D255">
        <v>1782</v>
      </c>
      <c r="E255" t="s">
        <v>201</v>
      </c>
      <c r="F255">
        <v>3452</v>
      </c>
      <c r="G255">
        <v>1155.8525492468134</v>
      </c>
      <c r="H255">
        <v>1708003</v>
      </c>
      <c r="I255">
        <v>0.74846757230499561</v>
      </c>
      <c r="J255" t="s">
        <v>212</v>
      </c>
      <c r="K255">
        <v>2675346</v>
      </c>
    </row>
    <row r="256" spans="1:11" x14ac:dyDescent="0.25">
      <c r="A256" t="s">
        <v>192</v>
      </c>
      <c r="B256" t="s">
        <v>200</v>
      </c>
      <c r="C256" t="s">
        <v>192</v>
      </c>
      <c r="D256">
        <v>1782</v>
      </c>
      <c r="E256" t="s">
        <v>201</v>
      </c>
      <c r="F256">
        <v>3452</v>
      </c>
      <c r="G256">
        <v>1155.8525492468134</v>
      </c>
      <c r="H256">
        <v>1708003</v>
      </c>
      <c r="I256">
        <v>0.74846757230499561</v>
      </c>
      <c r="J256" t="s">
        <v>213</v>
      </c>
      <c r="K256">
        <v>3567139</v>
      </c>
    </row>
    <row r="257" spans="1:11" x14ac:dyDescent="0.25">
      <c r="A257" t="s">
        <v>192</v>
      </c>
      <c r="B257" t="s">
        <v>200</v>
      </c>
      <c r="C257" t="s">
        <v>192</v>
      </c>
      <c r="D257">
        <v>1782</v>
      </c>
      <c r="E257" t="s">
        <v>201</v>
      </c>
      <c r="F257">
        <v>3452</v>
      </c>
      <c r="G257">
        <v>1155.8525492468134</v>
      </c>
      <c r="H257">
        <v>1708003</v>
      </c>
      <c r="I257">
        <v>0.74846757230499561</v>
      </c>
      <c r="J257" t="s">
        <v>214</v>
      </c>
      <c r="K257">
        <v>3990003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E9886-107A-45E9-8CCA-F4511BCDDA3E}">
  <sheetPr codeName="Sheet4"/>
  <dimension ref="A3:B16"/>
  <sheetViews>
    <sheetView workbookViewId="0">
      <selection activeCell="P22" sqref="P22"/>
    </sheetView>
  </sheetViews>
  <sheetFormatPr defaultRowHeight="15" x14ac:dyDescent="0.25"/>
  <cols>
    <col min="1" max="1" width="13.42578125" bestFit="1" customWidth="1"/>
    <col min="2" max="2" width="34.140625" bestFit="1" customWidth="1"/>
  </cols>
  <sheetData>
    <row r="3" spans="1:2" x14ac:dyDescent="0.25">
      <c r="A3" s="4" t="s">
        <v>206</v>
      </c>
      <c r="B3" t="s">
        <v>217</v>
      </c>
    </row>
    <row r="4" spans="1:2" x14ac:dyDescent="0.25">
      <c r="A4" s="5" t="s">
        <v>61</v>
      </c>
      <c r="B4" s="6">
        <v>10389.925546448087</v>
      </c>
    </row>
    <row r="5" spans="1:2" x14ac:dyDescent="0.25">
      <c r="A5" s="5" t="s">
        <v>85</v>
      </c>
      <c r="B5" s="6">
        <v>5899.7967836257312</v>
      </c>
    </row>
    <row r="6" spans="1:2" x14ac:dyDescent="0.25">
      <c r="A6" s="5" t="s">
        <v>67</v>
      </c>
      <c r="B6" s="6">
        <v>3008.6035437430787</v>
      </c>
    </row>
    <row r="7" spans="1:2" x14ac:dyDescent="0.25">
      <c r="A7" s="5" t="s">
        <v>88</v>
      </c>
      <c r="B7" s="6">
        <v>2319.9721739130437</v>
      </c>
    </row>
    <row r="8" spans="1:2" x14ac:dyDescent="0.25">
      <c r="A8" s="5" t="s">
        <v>82</v>
      </c>
      <c r="B8" s="6">
        <v>1671.2559760956176</v>
      </c>
    </row>
    <row r="9" spans="1:2" x14ac:dyDescent="0.25">
      <c r="A9" s="5" t="s">
        <v>73</v>
      </c>
      <c r="B9" s="6">
        <v>1254.451097062105</v>
      </c>
    </row>
    <row r="10" spans="1:2" x14ac:dyDescent="0.25">
      <c r="A10" s="5" t="s">
        <v>97</v>
      </c>
      <c r="B10" s="6">
        <v>1220.8796133567662</v>
      </c>
    </row>
    <row r="11" spans="1:2" x14ac:dyDescent="0.25">
      <c r="A11" s="5" t="s">
        <v>76</v>
      </c>
      <c r="B11" s="6">
        <v>1185.4449378330373</v>
      </c>
    </row>
    <row r="12" spans="1:2" x14ac:dyDescent="0.25">
      <c r="A12" s="5" t="s">
        <v>79</v>
      </c>
      <c r="B12" s="6">
        <v>1162.1184971098266</v>
      </c>
    </row>
    <row r="13" spans="1:2" x14ac:dyDescent="0.25">
      <c r="A13" s="5" t="s">
        <v>94</v>
      </c>
      <c r="B13" s="6">
        <v>1138.3270868824532</v>
      </c>
    </row>
    <row r="14" spans="1:2" x14ac:dyDescent="0.25">
      <c r="A14" s="5" t="s">
        <v>91</v>
      </c>
      <c r="B14" s="6">
        <v>1124.78663003663</v>
      </c>
    </row>
    <row r="15" spans="1:2" x14ac:dyDescent="0.25">
      <c r="A15" s="5" t="s">
        <v>64</v>
      </c>
      <c r="B15" s="6">
        <v>1087.5655138821237</v>
      </c>
    </row>
    <row r="16" spans="1:2" x14ac:dyDescent="0.25">
      <c r="A16" s="5" t="s">
        <v>70</v>
      </c>
      <c r="B16" s="6">
        <v>910.07964601769913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0490-7465-4634-9802-F094A5FB61CD}">
  <sheetPr codeName="Sheet5"/>
  <dimension ref="A3:B17"/>
  <sheetViews>
    <sheetView workbookViewId="0">
      <selection activeCell="E9" sqref="E9:F20"/>
    </sheetView>
  </sheetViews>
  <sheetFormatPr defaultRowHeight="15" x14ac:dyDescent="0.25"/>
  <cols>
    <col min="1" max="1" width="13.42578125" bestFit="1" customWidth="1"/>
    <col min="2" max="2" width="16.42578125" bestFit="1" customWidth="1"/>
    <col min="3" max="3" width="11.5703125" bestFit="1" customWidth="1"/>
    <col min="4" max="4" width="6.5703125" bestFit="1" customWidth="1"/>
    <col min="5" max="5" width="13.42578125" bestFit="1" customWidth="1"/>
    <col min="6" max="6" width="16.42578125" bestFit="1" customWidth="1"/>
    <col min="7" max="7" width="8.7109375" bestFit="1" customWidth="1"/>
    <col min="8" max="8" width="8.42578125" bestFit="1" customWidth="1"/>
    <col min="9" max="9" width="6.7109375" bestFit="1" customWidth="1"/>
    <col min="10" max="10" width="11.28515625" bestFit="1" customWidth="1"/>
    <col min="11" max="12" width="5" bestFit="1" customWidth="1"/>
    <col min="13" max="13" width="5.140625" bestFit="1" customWidth="1"/>
    <col min="14" max="14" width="5" bestFit="1" customWidth="1"/>
    <col min="15" max="15" width="5.28515625" bestFit="1" customWidth="1"/>
    <col min="16" max="18" width="5" bestFit="1" customWidth="1"/>
    <col min="19" max="19" width="4.5703125" bestFit="1" customWidth="1"/>
    <col min="20" max="26" width="5" bestFit="1" customWidth="1"/>
    <col min="27" max="27" width="4.28515625" bestFit="1" customWidth="1"/>
    <col min="28" max="35" width="5" bestFit="1" customWidth="1"/>
    <col min="36" max="38" width="5.140625" bestFit="1" customWidth="1"/>
    <col min="39" max="39" width="5" bestFit="1" customWidth="1"/>
    <col min="40" max="40" width="5.140625" bestFit="1" customWidth="1"/>
    <col min="41" max="42" width="5.28515625" bestFit="1" customWidth="1"/>
    <col min="43" max="44" width="5" bestFit="1" customWidth="1"/>
    <col min="45" max="45" width="5.42578125" bestFit="1" customWidth="1"/>
    <col min="46" max="48" width="5" bestFit="1" customWidth="1"/>
    <col min="49" max="49" width="4.85546875" bestFit="1" customWidth="1"/>
    <col min="50" max="55" width="5" bestFit="1" customWidth="1"/>
    <col min="56" max="56" width="5.28515625" bestFit="1" customWidth="1"/>
    <col min="57" max="65" width="5" bestFit="1" customWidth="1"/>
    <col min="66" max="66" width="11.28515625" bestFit="1" customWidth="1"/>
  </cols>
  <sheetData>
    <row r="3" spans="1:2" x14ac:dyDescent="0.25">
      <c r="A3" s="4" t="s">
        <v>206</v>
      </c>
      <c r="B3" t="s">
        <v>218</v>
      </c>
    </row>
    <row r="4" spans="1:2" x14ac:dyDescent="0.25">
      <c r="A4" s="5" t="s">
        <v>61</v>
      </c>
      <c r="B4" s="6">
        <v>1464</v>
      </c>
    </row>
    <row r="5" spans="1:2" x14ac:dyDescent="0.25">
      <c r="A5" s="5" t="s">
        <v>64</v>
      </c>
      <c r="B5" s="6">
        <v>2053</v>
      </c>
    </row>
    <row r="6" spans="1:2" x14ac:dyDescent="0.25">
      <c r="A6" s="5" t="s">
        <v>67</v>
      </c>
      <c r="B6" s="6">
        <v>1806</v>
      </c>
    </row>
    <row r="7" spans="1:2" x14ac:dyDescent="0.25">
      <c r="A7" s="5" t="s">
        <v>70</v>
      </c>
      <c r="B7" s="6">
        <v>1469</v>
      </c>
    </row>
    <row r="8" spans="1:2" x14ac:dyDescent="0.25">
      <c r="A8" s="5" t="s">
        <v>73</v>
      </c>
      <c r="B8" s="6">
        <v>2689</v>
      </c>
    </row>
    <row r="9" spans="1:2" x14ac:dyDescent="0.25">
      <c r="A9" s="5" t="s">
        <v>76</v>
      </c>
      <c r="B9" s="6">
        <v>1126</v>
      </c>
    </row>
    <row r="10" spans="1:2" x14ac:dyDescent="0.25">
      <c r="A10" s="5" t="s">
        <v>79</v>
      </c>
      <c r="B10" s="6">
        <v>1384</v>
      </c>
    </row>
    <row r="11" spans="1:2" x14ac:dyDescent="0.25">
      <c r="A11" s="5" t="s">
        <v>82</v>
      </c>
      <c r="B11" s="6">
        <v>1004</v>
      </c>
    </row>
    <row r="12" spans="1:2" x14ac:dyDescent="0.25">
      <c r="A12" s="5" t="s">
        <v>85</v>
      </c>
      <c r="B12" s="6">
        <v>684</v>
      </c>
    </row>
    <row r="13" spans="1:2" x14ac:dyDescent="0.25">
      <c r="A13" s="5" t="s">
        <v>88</v>
      </c>
      <c r="B13" s="6">
        <v>1150</v>
      </c>
    </row>
    <row r="14" spans="1:2" x14ac:dyDescent="0.25">
      <c r="A14" s="5" t="s">
        <v>91</v>
      </c>
      <c r="B14" s="6">
        <v>1092</v>
      </c>
    </row>
    <row r="15" spans="1:2" x14ac:dyDescent="0.25">
      <c r="A15" s="5" t="s">
        <v>94</v>
      </c>
      <c r="B15" s="6">
        <v>1174</v>
      </c>
    </row>
    <row r="16" spans="1:2" x14ac:dyDescent="0.25">
      <c r="A16" s="5" t="s">
        <v>97</v>
      </c>
      <c r="B16" s="6">
        <v>3414</v>
      </c>
    </row>
    <row r="17" spans="1:2" x14ac:dyDescent="0.25">
      <c r="A17" s="5" t="s">
        <v>207</v>
      </c>
      <c r="B17" s="6">
        <v>20509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95EB-4D2F-4FFB-A362-EAB6F4BFCA50}">
  <dimension ref="A3:B68"/>
  <sheetViews>
    <sheetView topLeftCell="A31" workbookViewId="0">
      <selection activeCell="B68" sqref="B68"/>
    </sheetView>
  </sheetViews>
  <sheetFormatPr defaultRowHeight="15" x14ac:dyDescent="0.25"/>
  <cols>
    <col min="1" max="1" width="18.140625" bestFit="1" customWidth="1"/>
    <col min="2" max="2" width="16.42578125" bestFit="1" customWidth="1"/>
  </cols>
  <sheetData>
    <row r="3" spans="1:2" x14ac:dyDescent="0.25">
      <c r="A3" s="4" t="s">
        <v>206</v>
      </c>
      <c r="B3" t="s">
        <v>218</v>
      </c>
    </row>
    <row r="4" spans="1:2" x14ac:dyDescent="0.25">
      <c r="A4" s="5" t="s">
        <v>112</v>
      </c>
      <c r="B4">
        <v>3959</v>
      </c>
    </row>
    <row r="5" spans="1:2" x14ac:dyDescent="0.25">
      <c r="A5" s="5" t="s">
        <v>28</v>
      </c>
      <c r="B5">
        <v>4496</v>
      </c>
    </row>
    <row r="6" spans="1:2" x14ac:dyDescent="0.25">
      <c r="A6" s="5" t="s">
        <v>9</v>
      </c>
      <c r="B6">
        <v>1831</v>
      </c>
    </row>
    <row r="7" spans="1:2" x14ac:dyDescent="0.25">
      <c r="A7" s="5" t="s">
        <v>13</v>
      </c>
      <c r="B7">
        <v>2785</v>
      </c>
    </row>
    <row r="8" spans="1:2" x14ac:dyDescent="0.25">
      <c r="A8" s="5" t="s">
        <v>16</v>
      </c>
      <c r="B8">
        <v>3403</v>
      </c>
    </row>
    <row r="9" spans="1:2" x14ac:dyDescent="0.25">
      <c r="A9" s="5" t="s">
        <v>142</v>
      </c>
      <c r="B9">
        <v>2899</v>
      </c>
    </row>
    <row r="10" spans="1:2" x14ac:dyDescent="0.25">
      <c r="A10" s="5" t="s">
        <v>32</v>
      </c>
      <c r="B10">
        <v>1881</v>
      </c>
    </row>
    <row r="11" spans="1:2" x14ac:dyDescent="0.25">
      <c r="A11" s="5" t="s">
        <v>35</v>
      </c>
      <c r="B11">
        <v>1645</v>
      </c>
    </row>
    <row r="12" spans="1:2" x14ac:dyDescent="0.25">
      <c r="A12" s="5" t="s">
        <v>146</v>
      </c>
      <c r="B12">
        <v>1703</v>
      </c>
    </row>
    <row r="13" spans="1:2" x14ac:dyDescent="0.25">
      <c r="A13" s="5" t="s">
        <v>30</v>
      </c>
      <c r="B13">
        <v>5282</v>
      </c>
    </row>
    <row r="14" spans="1:2" x14ac:dyDescent="0.25">
      <c r="A14" s="5" t="s">
        <v>116</v>
      </c>
      <c r="B14">
        <v>1174</v>
      </c>
    </row>
    <row r="15" spans="1:2" x14ac:dyDescent="0.25">
      <c r="A15" s="5" t="s">
        <v>40</v>
      </c>
      <c r="B15">
        <v>2492</v>
      </c>
    </row>
    <row r="16" spans="1:2" x14ac:dyDescent="0.25">
      <c r="A16" s="5" t="s">
        <v>43</v>
      </c>
      <c r="B16">
        <v>3146</v>
      </c>
    </row>
    <row r="17" spans="1:2" x14ac:dyDescent="0.25">
      <c r="A17" s="5" t="s">
        <v>61</v>
      </c>
      <c r="B17">
        <v>1464</v>
      </c>
    </row>
    <row r="18" spans="1:2" x14ac:dyDescent="0.25">
      <c r="A18" s="5" t="s">
        <v>166</v>
      </c>
      <c r="B18">
        <v>3444</v>
      </c>
    </row>
    <row r="19" spans="1:2" x14ac:dyDescent="0.25">
      <c r="A19" s="5" t="s">
        <v>64</v>
      </c>
      <c r="B19">
        <v>2053</v>
      </c>
    </row>
    <row r="20" spans="1:2" x14ac:dyDescent="0.25">
      <c r="A20" s="5" t="s">
        <v>46</v>
      </c>
      <c r="B20">
        <v>990</v>
      </c>
    </row>
    <row r="21" spans="1:2" x14ac:dyDescent="0.25">
      <c r="A21" s="5" t="s">
        <v>170</v>
      </c>
      <c r="B21">
        <v>2115</v>
      </c>
    </row>
    <row r="22" spans="1:2" x14ac:dyDescent="0.25">
      <c r="A22" s="5" t="s">
        <v>67</v>
      </c>
      <c r="B22">
        <v>1806</v>
      </c>
    </row>
    <row r="23" spans="1:2" x14ac:dyDescent="0.25">
      <c r="A23" s="5" t="s">
        <v>70</v>
      </c>
      <c r="B23">
        <v>1469</v>
      </c>
    </row>
    <row r="24" spans="1:2" x14ac:dyDescent="0.25">
      <c r="A24" s="5" t="s">
        <v>190</v>
      </c>
      <c r="B24">
        <v>2637</v>
      </c>
    </row>
    <row r="25" spans="1:2" x14ac:dyDescent="0.25">
      <c r="A25" s="5" t="s">
        <v>149</v>
      </c>
      <c r="B25">
        <v>1012</v>
      </c>
    </row>
    <row r="26" spans="1:2" x14ac:dyDescent="0.25">
      <c r="A26" s="5" t="s">
        <v>100</v>
      </c>
      <c r="B26">
        <v>2115</v>
      </c>
    </row>
    <row r="27" spans="1:2" x14ac:dyDescent="0.25">
      <c r="A27" s="5" t="s">
        <v>119</v>
      </c>
      <c r="B27">
        <v>2607</v>
      </c>
    </row>
    <row r="28" spans="1:2" x14ac:dyDescent="0.25">
      <c r="A28" s="5" t="s">
        <v>19</v>
      </c>
      <c r="B28">
        <v>707</v>
      </c>
    </row>
    <row r="29" spans="1:2" x14ac:dyDescent="0.25">
      <c r="A29" s="5" t="s">
        <v>122</v>
      </c>
      <c r="B29">
        <v>1965</v>
      </c>
    </row>
    <row r="30" spans="1:2" x14ac:dyDescent="0.25">
      <c r="A30" s="5" t="s">
        <v>49</v>
      </c>
      <c r="B30">
        <v>2749</v>
      </c>
    </row>
    <row r="31" spans="1:2" x14ac:dyDescent="0.25">
      <c r="A31" s="5" t="s">
        <v>114</v>
      </c>
      <c r="B31">
        <v>4394</v>
      </c>
    </row>
    <row r="32" spans="1:2" x14ac:dyDescent="0.25">
      <c r="A32" s="5" t="s">
        <v>73</v>
      </c>
      <c r="B32">
        <v>2689</v>
      </c>
    </row>
    <row r="33" spans="1:2" x14ac:dyDescent="0.25">
      <c r="A33" s="5" t="s">
        <v>173</v>
      </c>
      <c r="B33">
        <v>2245</v>
      </c>
    </row>
    <row r="34" spans="1:2" x14ac:dyDescent="0.25">
      <c r="A34" s="5" t="s">
        <v>127</v>
      </c>
      <c r="B34">
        <v>1609</v>
      </c>
    </row>
    <row r="35" spans="1:2" x14ac:dyDescent="0.25">
      <c r="A35" s="5" t="s">
        <v>52</v>
      </c>
      <c r="B35">
        <v>1440</v>
      </c>
    </row>
    <row r="36" spans="1:2" x14ac:dyDescent="0.25">
      <c r="A36" s="5" t="s">
        <v>176</v>
      </c>
      <c r="B36">
        <v>1247</v>
      </c>
    </row>
    <row r="37" spans="1:2" x14ac:dyDescent="0.25">
      <c r="A37" s="5" t="s">
        <v>76</v>
      </c>
      <c r="B37">
        <v>1126</v>
      </c>
    </row>
    <row r="38" spans="1:2" x14ac:dyDescent="0.25">
      <c r="A38" s="5" t="s">
        <v>130</v>
      </c>
      <c r="B38">
        <v>1039</v>
      </c>
    </row>
    <row r="39" spans="1:2" x14ac:dyDescent="0.25">
      <c r="A39" s="5" t="s">
        <v>79</v>
      </c>
      <c r="B39">
        <v>1384</v>
      </c>
    </row>
    <row r="40" spans="1:2" x14ac:dyDescent="0.25">
      <c r="A40" s="5" t="s">
        <v>133</v>
      </c>
      <c r="B40">
        <v>752</v>
      </c>
    </row>
    <row r="41" spans="1:2" x14ac:dyDescent="0.25">
      <c r="A41" s="5" t="s">
        <v>194</v>
      </c>
      <c r="B41">
        <v>2799</v>
      </c>
    </row>
    <row r="42" spans="1:2" x14ac:dyDescent="0.25">
      <c r="A42" s="5" t="s">
        <v>82</v>
      </c>
      <c r="B42">
        <v>1004</v>
      </c>
    </row>
    <row r="43" spans="1:2" x14ac:dyDescent="0.25">
      <c r="A43" s="5" t="s">
        <v>102</v>
      </c>
      <c r="B43">
        <v>4395</v>
      </c>
    </row>
    <row r="44" spans="1:2" x14ac:dyDescent="0.25">
      <c r="A44" s="5" t="s">
        <v>152</v>
      </c>
      <c r="B44">
        <v>3436</v>
      </c>
    </row>
    <row r="45" spans="1:2" x14ac:dyDescent="0.25">
      <c r="A45" s="5" t="s">
        <v>136</v>
      </c>
      <c r="B45">
        <v>968</v>
      </c>
    </row>
    <row r="46" spans="1:2" x14ac:dyDescent="0.25">
      <c r="A46" s="5" t="s">
        <v>85</v>
      </c>
      <c r="B46">
        <v>684</v>
      </c>
    </row>
    <row r="47" spans="1:2" x14ac:dyDescent="0.25">
      <c r="A47" s="5" t="s">
        <v>88</v>
      </c>
      <c r="B47">
        <v>1150</v>
      </c>
    </row>
    <row r="48" spans="1:2" x14ac:dyDescent="0.25">
      <c r="A48" s="5" t="s">
        <v>155</v>
      </c>
      <c r="B48">
        <v>1900</v>
      </c>
    </row>
    <row r="49" spans="1:2" x14ac:dyDescent="0.25">
      <c r="A49" s="5" t="s">
        <v>106</v>
      </c>
      <c r="B49">
        <v>2794</v>
      </c>
    </row>
    <row r="50" spans="1:2" x14ac:dyDescent="0.25">
      <c r="A50" s="5" t="s">
        <v>179</v>
      </c>
      <c r="B50">
        <v>1547</v>
      </c>
    </row>
    <row r="51" spans="1:2" x14ac:dyDescent="0.25">
      <c r="A51" s="5" t="s">
        <v>55</v>
      </c>
      <c r="B51">
        <v>3686</v>
      </c>
    </row>
    <row r="52" spans="1:2" x14ac:dyDescent="0.25">
      <c r="A52" s="5" t="s">
        <v>158</v>
      </c>
      <c r="B52">
        <v>2376</v>
      </c>
    </row>
    <row r="53" spans="1:2" x14ac:dyDescent="0.25">
      <c r="A53" s="5" t="s">
        <v>182</v>
      </c>
      <c r="B53">
        <v>1405</v>
      </c>
    </row>
    <row r="54" spans="1:2" x14ac:dyDescent="0.25">
      <c r="A54" s="5" t="s">
        <v>22</v>
      </c>
      <c r="B54">
        <v>3221</v>
      </c>
    </row>
    <row r="55" spans="1:2" x14ac:dyDescent="0.25">
      <c r="A55" s="5" t="s">
        <v>25</v>
      </c>
      <c r="B55">
        <v>1278</v>
      </c>
    </row>
    <row r="56" spans="1:2" x14ac:dyDescent="0.25">
      <c r="A56" s="5" t="s">
        <v>91</v>
      </c>
      <c r="B56">
        <v>1092</v>
      </c>
    </row>
    <row r="57" spans="1:2" x14ac:dyDescent="0.25">
      <c r="A57" s="5" t="s">
        <v>144</v>
      </c>
      <c r="B57">
        <v>2425</v>
      </c>
    </row>
    <row r="58" spans="1:2" x14ac:dyDescent="0.25">
      <c r="A58" s="5" t="s">
        <v>58</v>
      </c>
      <c r="B58">
        <v>6116</v>
      </c>
    </row>
    <row r="59" spans="1:2" x14ac:dyDescent="0.25">
      <c r="A59" s="5" t="s">
        <v>168</v>
      </c>
      <c r="B59">
        <v>2401</v>
      </c>
    </row>
    <row r="60" spans="1:2" x14ac:dyDescent="0.25">
      <c r="A60" s="5" t="s">
        <v>139</v>
      </c>
      <c r="B60">
        <v>3817</v>
      </c>
    </row>
    <row r="61" spans="1:2" x14ac:dyDescent="0.25">
      <c r="A61" s="5" t="s">
        <v>94</v>
      </c>
      <c r="B61">
        <v>1174</v>
      </c>
    </row>
    <row r="62" spans="1:2" x14ac:dyDescent="0.25">
      <c r="A62" s="5" t="s">
        <v>109</v>
      </c>
      <c r="B62">
        <v>1365</v>
      </c>
    </row>
    <row r="63" spans="1:2" x14ac:dyDescent="0.25">
      <c r="A63" s="5" t="s">
        <v>163</v>
      </c>
      <c r="B63">
        <v>2402</v>
      </c>
    </row>
    <row r="64" spans="1:2" x14ac:dyDescent="0.25">
      <c r="A64" s="5" t="s">
        <v>197</v>
      </c>
      <c r="B64">
        <v>3747</v>
      </c>
    </row>
    <row r="65" spans="1:2" x14ac:dyDescent="0.25">
      <c r="A65" s="5" t="s">
        <v>192</v>
      </c>
      <c r="B65">
        <v>3452</v>
      </c>
    </row>
    <row r="66" spans="1:2" x14ac:dyDescent="0.25">
      <c r="A66" s="5" t="s">
        <v>97</v>
      </c>
      <c r="B66">
        <v>3414</v>
      </c>
    </row>
    <row r="67" spans="1:2" x14ac:dyDescent="0.25">
      <c r="A67" s="5" t="s">
        <v>187</v>
      </c>
      <c r="B67">
        <v>1782</v>
      </c>
    </row>
    <row r="68" spans="1:2" x14ac:dyDescent="0.25">
      <c r="A68" s="5" t="s">
        <v>207</v>
      </c>
      <c r="B68">
        <v>147584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B13A-F882-45BE-95B5-63AC85D91EA7}">
  <dimension ref="A1"/>
  <sheetViews>
    <sheetView showGridLines="0" showRowColHeaders="0" tabSelected="1" topLeftCell="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E47ABA-D807-41A8-AB0A-158B59300D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city_population</vt:lpstr>
      <vt:lpstr>pivot_table</vt:lpstr>
      <vt:lpstr>pivot_table2</vt:lpstr>
      <vt:lpstr>city_population (2)</vt:lpstr>
      <vt:lpstr>Sheet4</vt:lpstr>
      <vt:lpstr>Sheet1</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Jahid Hasan</dc:creator>
  <cp:lastModifiedBy>Jahid Hasan</cp:lastModifiedBy>
  <dcterms:created xsi:type="dcterms:W3CDTF">2025-10-28T14:42:54Z</dcterms:created>
  <dcterms:modified xsi:type="dcterms:W3CDTF">2025-11-11T16:00:37Z</dcterms:modified>
</cp:coreProperties>
</file>